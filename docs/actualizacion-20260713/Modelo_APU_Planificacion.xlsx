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f5dbdad4d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a" sheetId="1" r:id="Rdc3bcd3dfee64d39"/>
    <x:sheet xmlns:r="http://schemas.openxmlformats.org/officeDocument/2006/relationships" name="01_Parametros" sheetId="2" r:id="Ra554068814964950"/>
    <x:sheet xmlns:r="http://schemas.openxmlformats.org/officeDocument/2006/relationships" name="02_APU_Recursos" sheetId="3" r:id="R326011d06aac46a9"/>
    <x:sheet xmlns:r="http://schemas.openxmlformats.org/officeDocument/2006/relationships" name="03_Calculos_Plan" sheetId="4" r:id="Re7de9c9eafc84ba1"/>
    <x:sheet xmlns:r="http://schemas.openxmlformats.org/officeDocument/2006/relationships" name="04_Escenarios" sheetId="5" r:id="R375b61e8cf7947ae"/>
    <x:sheet xmlns:r="http://schemas.openxmlformats.org/officeDocument/2006/relationships" name="05_Programa_Recursos" sheetId="6" r:id="R73916bc33a80441c"/>
    <x:sheet xmlns:r="http://schemas.openxmlformats.org/officeDocument/2006/relationships" name="06_Dashboard_Plan" sheetId="7" r:id="R62824bc64d0a4982"/>
    <x:sheet xmlns:r="http://schemas.openxmlformats.org/officeDocument/2006/relationships" name="07_Diccionario" sheetId="8" r:id="Recf69243e91442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yyyy-mm-dd"/>
    <x:numFmt numFmtId="201" formatCode="0.00%"/>
    <x:numFmt numFmtId="202" formatCode="0.0000"/>
    <x:numFmt numFmtId="203" formatCode="$0.0000"/>
    <x:numFmt numFmtId="204" formatCode="0.000000"/>
    <x:numFmt numFmtId="205" formatCode="$0.00"/>
    <x:numFmt numFmtId="206" formatCode="0.00 &quot;m²&quot;"/>
    <x:numFmt numFmtId="207" formatCode="0.0%"/>
    <x:numFmt numFmtId="208" formatCode="0.00 &quot;m²/h&quot;"/>
    <x:numFmt numFmtId="209" formatCode="0.00 &quot;h&quot;"/>
    <x:numFmt numFmtId="210" formatCode="0.00 &quot;HH&quot;"/>
    <x:numFmt numFmtId="211" formatCode="0.00 &quot;m²/HH&quot;"/>
    <x:numFmt numFmtId="212" formatCode="0.00 &quot;EH&quot;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F7A8C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9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sz val="11"/>
      <x:color rgb="FF1F7A8C"/>
      <x:name val="Carlito"/>
    </x:font>
    <x:font>
      <x:b/>
      <x:sz val="16"/>
      <x:color rgb="FF17365D"/>
      <x:name val="Carlito"/>
    </x:font>
    <x:font>
      <x:b/>
      <x:sz val="16"/>
      <x:color rgb="FF1F7A8C"/>
      <x:name val="Carlito"/>
    </x:font>
    <x:font>
      <x:sz val="8"/>
      <x:color rgb="FF7F8C8D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3"/>
      </x:patternFill>
    </x:fill>
    <x:fill>
      <x:patternFill patternType="solid">
        <x:fgColor rgb="FF1F4E78"/>
      </x:patternFill>
    </x:fill>
    <x:fill>
      <x:patternFill patternType="solid">
        <x:fgColor rgb="FFF4A623"/>
      </x:patternFill>
    </x:fill>
    <x:fill>
      <x:patternFill patternType="solid">
        <x:fgColor rgb="FFF2F4F7"/>
      </x:patternFill>
    </x:fill>
    <x:fill>
      <x:patternFill patternType="solid">
        <x:fgColor rgb="FF1F7A8C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</x:fills>
  <x:borders count="26">
    <x:border/>
    <x:border/>
    <x:border>
      <x:bottom/>
    </x:border>
    <x:border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left"/>
    </x:xf>
    <x:xf numFmtId="0" fontId="3" fillId="7" borderId="0" xfId="0" applyNumberFormat="1" applyFont="1" applyFill="1" applyBorder="1" applyAlignment="1">
      <x:alignment horizontal="left" vertic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left"/>
    </x:xf>
    <x:xf numFmtId="0" fontId="3" fillId="7" borderId="1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5" fillId="9" borderId="0" xfId="0" applyNumberFormat="1" applyFont="1" applyFill="1" applyBorder="1"/>
    <x:xf numFmtId="0" fontId="5" fillId="8" borderId="0" xfId="0" applyNumberFormat="1" applyFont="1" applyFill="1" applyBorder="1"/>
    <x:xf numFmtId="0" fontId="5" fillId="10" borderId="0" xfId="0" applyNumberFormat="1" applyFont="1" applyFill="1" applyBorder="1"/>
    <x:xf numFmtId="0" fontId="5" fillId="11" borderId="0" xfId="0" applyNumberFormat="1" applyFont="1" applyFill="1" applyBorder="1"/>
    <x:xf numFmtId="0" fontId="5" fillId="9" borderId="1" xfId="0" applyNumberFormat="1" applyFont="1" applyFill="1" applyBorder="1"/>
    <x:xf numFmtId="0" fontId="5" fillId="8" borderId="1" xfId="0" applyNumberFormat="1" applyFont="1" applyFill="1" applyBorder="1"/>
    <x:xf numFmtId="0" fontId="5" fillId="10" borderId="1" xfId="0" applyNumberFormat="1" applyFont="1" applyFill="1" applyBorder="1"/>
    <x:xf numFmtId="0" fontId="5" fillId="11" borderId="1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  <x:xf numFmtId="0" fontId="5" fillId="10" borderId="1" xfId="0" applyNumberFormat="1" applyFont="1" applyFill="1" applyBorder="1" applyAlignment="1">
      <x:alignment wrapText="1"/>
    </x:xf>
    <x:xf numFmtId="0" fontId="5" fillId="11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2" xfId="0" applyNumberFormat="1" applyFont="1" applyFill="1" applyBorder="1"/>
    <x:xf numFmtId="0" fontId="6" fillId="4" borderId="2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horizont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/>
    <x:xf numFmtId="0" fontId="6" fillId="4" borderId="3" xfId="0" applyNumberFormat="1" applyFont="1" applyFill="1" applyBorder="1"/>
    <x:xf numFmtId="0" fontId="6" fillId="4" borderId="3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horizont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8" fillId="9" borderId="0" xfId="0" applyNumberFormat="1" applyFont="1" applyFill="1" applyBorder="1"/>
    <x:xf numFmtId="0" fontId="8" fillId="9" borderId="4" xfId="0" applyNumberFormat="1" applyFont="1" applyFill="1" applyBorder="1"/>
    <x:xf numFmtId="0" fontId="8" fillId="9" borderId="5" xfId="0" applyNumberFormat="1" applyFont="1" applyFill="1" applyBorder="1"/>
    <x:xf numFmtId="0" fontId="8" fillId="9" borderId="6" xfId="0" applyNumberFormat="1" applyFont="1" applyFill="1" applyBorder="1"/>
    <x:xf numFmtId="0" fontId="8" fillId="9" borderId="1" xfId="0" applyNumberFormat="1" applyFont="1" applyFill="1" applyBorder="1"/>
    <x:xf numFmtId="0" fontId="8" fillId="9" borderId="7" xfId="0" applyNumberFormat="1" applyFont="1" applyFill="1" applyBorder="1"/>
    <x:xf numFmtId="0" fontId="8" fillId="9" borderId="8" xfId="0" applyNumberFormat="1" applyFont="1" applyFill="1" applyBorder="1"/>
    <x:xf numFmtId="0" fontId="8" fillId="9" borderId="9" xfId="0" applyNumberFormat="1" applyFont="1" applyFill="1" applyBorder="1"/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200" fontId="8" fillId="9" borderId="5" xfId="0" applyNumberFormat="1" applyFont="1" applyFill="1" applyBorder="1"/>
    <x:xf numFmtId="200" fontId="8" fillId="9" borderId="8" xfId="0" applyNumberFormat="1" applyFont="1" applyFill="1" applyBorder="1"/>
    <x:xf numFmtId="201" fontId="8" fillId="9" borderId="5" xfId="0" applyNumberFormat="1" applyFont="1" applyFill="1" applyBorder="1"/>
    <x:xf numFmtId="201" fontId="8" fillId="9" borderId="8" xfId="0" applyNumberFormat="1" applyFont="1" applyFill="1" applyBorder="1"/>
    <x:xf numFmtId="202" fontId="8" fillId="9" borderId="5" xfId="0" applyNumberFormat="1" applyFont="1" applyFill="1" applyBorder="1"/>
    <x:xf numFmtId="202" fontId="8" fillId="9" borderId="8" xfId="0" applyNumberFormat="1" applyFont="1" applyFill="1" applyBorder="1"/>
    <x:xf numFmtId="203" fontId="8" fillId="9" borderId="5" xfId="0" applyNumberFormat="1" applyFont="1" applyFill="1" applyBorder="1"/>
    <x:xf numFmtId="203" fontId="8" fillId="9" borderId="8" xfId="0" applyNumberFormat="1" applyFont="1" applyFill="1" applyBorder="1"/>
    <x:xf numFmtId="204" fontId="8" fillId="9" borderId="6" xfId="0" applyNumberFormat="1" applyFont="1" applyFill="1" applyBorder="1"/>
    <x:xf numFmtId="204" fontId="8" fillId="9" borderId="9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vertical="top" wrapText="1"/>
    </x:xf>
    <x:xf numFmtId="0" fontId="8" fillId="11" borderId="1" xfId="0" applyNumberFormat="1" applyFont="1" applyFill="1" applyBorder="1"/>
    <x:xf numFmtId="0" fontId="8" fillId="11" borderId="1" xfId="0" applyNumberFormat="1" applyFont="1" applyFill="1" applyBorder="1" applyAlignment="1">
      <x:alignment wrapText="1"/>
    </x:xf>
    <x:xf numFmtId="0" fontId="8" fillId="11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0" xfId="0" applyNumberFormat="1" applyFont="1" applyFill="1" applyBorder="1" applyAlignment="1">
      <x:alignment wrapText="1"/>
    </x:xf>
    <x:xf numFmtId="201" fontId="0" fillId="6" borderId="1" xfId="0" applyNumberFormat="1" applyFont="1" applyFill="1" applyBorder="1"/>
    <x:xf numFmtId="201" fontId="0" fillId="6" borderId="1" xfId="0" applyNumberFormat="1" applyFont="1" applyFill="1" applyBorder="1" applyAlignment="1">
      <x:alignment wrapText="1"/>
    </x:xf>
    <x:xf numFmtId="0" fontId="8" fillId="9" borderId="10" xfId="0" applyNumberFormat="1" applyFont="1" applyFill="1" applyBorder="1"/>
    <x:xf numFmtId="0" fontId="8" fillId="9" borderId="11" xfId="0" applyNumberFormat="1" applyFont="1" applyFill="1" applyBorder="1"/>
    <x:xf numFmtId="0" fontId="8" fillId="9" borderId="12" xfId="0" applyNumberFormat="1" applyFont="1" applyFill="1" applyBorder="1"/>
    <x:xf numFmtId="0" fontId="8" fillId="9" borderId="13" xfId="0" applyNumberFormat="1" applyFont="1" applyFill="1" applyBorder="1"/>
    <x:xf numFmtId="0" fontId="8" fillId="9" borderId="14" xfId="0" applyNumberFormat="1" applyFont="1" applyFill="1" applyBorder="1"/>
    <x:xf numFmtId="0" fontId="8" fillId="9" borderId="15" xfId="0" applyNumberFormat="1" applyFont="1" applyFill="1" applyBorder="1"/>
    <x:xf numFmtId="0" fontId="8" fillId="9" borderId="16" xfId="0" applyNumberFormat="1" applyFont="1" applyFill="1" applyBorder="1"/>
    <x:xf numFmtId="0" fontId="8" fillId="9" borderId="17" xfId="0" applyNumberFormat="1" applyFont="1" applyFill="1" applyBorder="1"/>
    <x:xf numFmtId="0" fontId="8" fillId="9" borderId="18" xfId="0" applyNumberFormat="1" applyFont="1" applyFill="1" applyBorder="1"/>
    <x:xf numFmtId="0" fontId="8" fillId="9" borderId="19" xfId="0" applyNumberFormat="1" applyFont="1" applyFill="1" applyBorder="1"/>
    <x:xf numFmtId="0" fontId="8" fillId="9" borderId="20" xfId="0" applyNumberFormat="1" applyFont="1" applyFill="1" applyBorder="1"/>
    <x:xf numFmtId="0" fontId="8" fillId="9" borderId="21" xfId="0" applyNumberFormat="1" applyFont="1" applyFill="1" applyBorder="1"/>
    <x:xf numFmtId="0" fontId="8" fillId="9" borderId="22" xfId="0" applyNumberFormat="1" applyFont="1" applyFill="1" applyBorder="1"/>
    <x:xf numFmtId="0" fontId="8" fillId="9" borderId="23" xfId="0" applyNumberFormat="1" applyFont="1" applyFill="1" applyBorder="1"/>
    <x:xf numFmtId="0" fontId="8" fillId="9" borderId="24" xfId="0" applyNumberFormat="1" applyFont="1" applyFill="1" applyBorder="1"/>
    <x:xf numFmtId="0" fontId="8" fillId="9" borderId="25" xfId="0" applyNumberFormat="1" applyFont="1" applyFill="1" applyBorder="1"/>
    <x:xf numFmtId="0" fontId="8" fillId="8" borderId="4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0" xfId="0" applyNumberFormat="1" applyFont="1" applyFill="1" applyBorder="1"/>
    <x:xf numFmtId="0" fontId="8" fillId="8" borderId="10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0" fontId="8" fillId="8" borderId="13" xfId="0" applyNumberFormat="1" applyFont="1" applyFill="1" applyBorder="1"/>
    <x:xf numFmtId="0" fontId="8" fillId="8" borderId="14" xfId="0" applyNumberFormat="1" applyFont="1" applyFill="1" applyBorder="1"/>
    <x:xf numFmtId="0" fontId="8" fillId="8" borderId="15" xfId="0" applyNumberFormat="1" applyFont="1" applyFill="1" applyBorder="1"/>
    <x:xf numFmtId="0" fontId="8" fillId="8" borderId="16" xfId="0" applyNumberFormat="1" applyFont="1" applyFill="1" applyBorder="1"/>
    <x:xf numFmtId="0" fontId="8" fillId="8" borderId="17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1" xfId="0" applyNumberFormat="1" applyFont="1" applyFill="1" applyBorder="1"/>
    <x:xf numFmtId="0" fontId="8" fillId="8" borderId="18" xfId="0" applyNumberFormat="1" applyFont="1" applyFill="1" applyBorder="1"/>
    <x:xf numFmtId="0" fontId="8" fillId="8" borderId="19" xfId="0" applyNumberFormat="1" applyFont="1" applyFill="1" applyBorder="1"/>
    <x:xf numFmtId="0" fontId="8" fillId="8" borderId="20" xfId="0" applyNumberFormat="1" applyFont="1" applyFill="1" applyBorder="1"/>
    <x:xf numFmtId="0" fontId="8" fillId="8" borderId="21" xfId="0" applyNumberFormat="1" applyFont="1" applyFill="1" applyBorder="1"/>
    <x:xf numFmtId="0" fontId="8" fillId="8" borderId="22" xfId="0" applyNumberFormat="1" applyFont="1" applyFill="1" applyBorder="1"/>
    <x:xf numFmtId="0" fontId="8" fillId="8" borderId="23" xfId="0" applyNumberFormat="1" applyFont="1" applyFill="1" applyBorder="1"/>
    <x:xf numFmtId="0" fontId="8" fillId="8" borderId="24" xfId="0" applyNumberFormat="1" applyFont="1" applyFill="1" applyBorder="1"/>
    <x:xf numFmtId="0" fontId="8" fillId="8" borderId="25" xfId="0" applyNumberFormat="1" applyFont="1" applyFill="1" applyBorder="1"/>
    <x:xf numFmtId="202" fontId="8" fillId="9" borderId="11" xfId="0" applyNumberFormat="1" applyFont="1" applyFill="1" applyBorder="1"/>
    <x:xf numFmtId="202" fontId="8" fillId="9" borderId="12" xfId="0" applyNumberFormat="1" applyFont="1" applyFill="1" applyBorder="1"/>
    <x:xf numFmtId="202" fontId="8" fillId="8" borderId="10" xfId="0" applyNumberFormat="1" applyFont="1" applyFill="1" applyBorder="1"/>
    <x:xf numFmtId="202" fontId="8" fillId="8" borderId="4" xfId="0" applyNumberFormat="1" applyFont="1" applyFill="1" applyBorder="1"/>
    <x:xf numFmtId="202" fontId="8" fillId="8" borderId="11" xfId="0" applyNumberFormat="1" applyFont="1" applyFill="1" applyBorder="1"/>
    <x:xf numFmtId="202" fontId="8" fillId="8" borderId="12" xfId="0" applyNumberFormat="1" applyFont="1" applyFill="1" applyBorder="1"/>
    <x:xf numFmtId="202" fontId="8" fillId="9" borderId="0" xfId="0" applyNumberFormat="1" applyFont="1" applyFill="1" applyBorder="1"/>
    <x:xf numFmtId="202" fontId="8" fillId="9" borderId="14" xfId="0" applyNumberFormat="1" applyFont="1" applyFill="1" applyBorder="1"/>
    <x:xf numFmtId="202" fontId="8" fillId="8" borderId="13" xfId="0" applyNumberFormat="1" applyFont="1" applyFill="1" applyBorder="1"/>
    <x:xf numFmtId="202" fontId="8" fillId="8" borderId="5" xfId="0" applyNumberFormat="1" applyFont="1" applyFill="1" applyBorder="1"/>
    <x:xf numFmtId="202" fontId="8" fillId="8" borderId="0" xfId="0" applyNumberFormat="1" applyFont="1" applyFill="1" applyBorder="1"/>
    <x:xf numFmtId="202" fontId="8" fillId="8" borderId="14" xfId="0" applyNumberFormat="1" applyFont="1" applyFill="1" applyBorder="1"/>
    <x:xf numFmtId="202" fontId="8" fillId="9" borderId="16" xfId="0" applyNumberFormat="1" applyFont="1" applyFill="1" applyBorder="1"/>
    <x:xf numFmtId="202" fontId="8" fillId="9" borderId="17" xfId="0" applyNumberFormat="1" applyFont="1" applyFill="1" applyBorder="1"/>
    <x:xf numFmtId="202" fontId="8" fillId="8" borderId="15" xfId="0" applyNumberFormat="1" applyFont="1" applyFill="1" applyBorder="1"/>
    <x:xf numFmtId="202" fontId="8" fillId="8" borderId="6" xfId="0" applyNumberFormat="1" applyFont="1" applyFill="1" applyBorder="1"/>
    <x:xf numFmtId="202" fontId="8" fillId="8" borderId="16" xfId="0" applyNumberFormat="1" applyFont="1" applyFill="1" applyBorder="1"/>
    <x:xf numFmtId="202" fontId="8" fillId="8" borderId="17" xfId="0" applyNumberFormat="1" applyFont="1" applyFill="1" applyBorder="1"/>
    <x:xf numFmtId="202" fontId="8" fillId="9" borderId="19" xfId="0" applyNumberFormat="1" applyFont="1" applyFill="1" applyBorder="1"/>
    <x:xf numFmtId="202" fontId="8" fillId="9" borderId="20" xfId="0" applyNumberFormat="1" applyFont="1" applyFill="1" applyBorder="1"/>
    <x:xf numFmtId="202" fontId="8" fillId="8" borderId="18" xfId="0" applyNumberFormat="1" applyFont="1" applyFill="1" applyBorder="1"/>
    <x:xf numFmtId="202" fontId="8" fillId="8" borderId="7" xfId="0" applyNumberFormat="1" applyFont="1" applyFill="1" applyBorder="1"/>
    <x:xf numFmtId="202" fontId="8" fillId="8" borderId="19" xfId="0" applyNumberFormat="1" applyFont="1" applyFill="1" applyBorder="1"/>
    <x:xf numFmtId="202" fontId="8" fillId="8" borderId="20" xfId="0" applyNumberFormat="1" applyFont="1" applyFill="1" applyBorder="1"/>
    <x:xf numFmtId="202" fontId="8" fillId="9" borderId="1" xfId="0" applyNumberFormat="1" applyFont="1" applyFill="1" applyBorder="1"/>
    <x:xf numFmtId="202" fontId="8" fillId="9" borderId="22" xfId="0" applyNumberFormat="1" applyFont="1" applyFill="1" applyBorder="1"/>
    <x:xf numFmtId="202" fontId="8" fillId="8" borderId="21" xfId="0" applyNumberFormat="1" applyFont="1" applyFill="1" applyBorder="1"/>
    <x:xf numFmtId="202" fontId="8" fillId="8" borderId="8" xfId="0" applyNumberFormat="1" applyFont="1" applyFill="1" applyBorder="1"/>
    <x:xf numFmtId="202" fontId="8" fillId="8" borderId="1" xfId="0" applyNumberFormat="1" applyFont="1" applyFill="1" applyBorder="1"/>
    <x:xf numFmtId="202" fontId="8" fillId="8" borderId="22" xfId="0" applyNumberFormat="1" applyFont="1" applyFill="1" applyBorder="1"/>
    <x:xf numFmtId="202" fontId="8" fillId="9" borderId="24" xfId="0" applyNumberFormat="1" applyFont="1" applyFill="1" applyBorder="1"/>
    <x:xf numFmtId="202" fontId="8" fillId="9" borderId="25" xfId="0" applyNumberFormat="1" applyFont="1" applyFill="1" applyBorder="1"/>
    <x:xf numFmtId="202" fontId="8" fillId="8" borderId="23" xfId="0" applyNumberFormat="1" applyFont="1" applyFill="1" applyBorder="1"/>
    <x:xf numFmtId="202" fontId="8" fillId="8" borderId="9" xfId="0" applyNumberFormat="1" applyFont="1" applyFill="1" applyBorder="1"/>
    <x:xf numFmtId="202" fontId="8" fillId="8" borderId="24" xfId="0" applyNumberFormat="1" applyFont="1" applyFill="1" applyBorder="1"/>
    <x:xf numFmtId="202" fontId="8" fillId="8" borderId="25" xfId="0" applyNumberFormat="1" applyFont="1" applyFill="1" applyBorder="1"/>
    <x:xf numFmtId="203" fontId="8" fillId="9" borderId="11" xfId="0" applyNumberFormat="1" applyFont="1" applyFill="1" applyBorder="1"/>
    <x:xf numFmtId="203" fontId="8" fillId="9" borderId="0" xfId="0" applyNumberFormat="1" applyFont="1" applyFill="1" applyBorder="1"/>
    <x:xf numFmtId="203" fontId="8" fillId="9" borderId="16" xfId="0" applyNumberFormat="1" applyFont="1" applyFill="1" applyBorder="1"/>
    <x:xf numFmtId="203" fontId="8" fillId="9" borderId="19" xfId="0" applyNumberFormat="1" applyFont="1" applyFill="1" applyBorder="1"/>
    <x:xf numFmtId="203" fontId="8" fillId="9" borderId="1" xfId="0" applyNumberFormat="1" applyFont="1" applyFill="1" applyBorder="1"/>
    <x:xf numFmtId="203" fontId="8" fillId="9" borderId="24" xfId="0" applyNumberFormat="1" applyFont="1" applyFill="1" applyBorder="1"/>
    <x:xf numFmtId="203" fontId="8" fillId="8" borderId="11" xfId="0" applyNumberFormat="1" applyFont="1" applyFill="1" applyBorder="1"/>
    <x:xf numFmtId="203" fontId="8" fillId="8" borderId="0" xfId="0" applyNumberFormat="1" applyFont="1" applyFill="1" applyBorder="1"/>
    <x:xf numFmtId="203" fontId="8" fillId="8" borderId="16" xfId="0" applyNumberFormat="1" applyFont="1" applyFill="1" applyBorder="1"/>
    <x:xf numFmtId="203" fontId="8" fillId="8" borderId="19" xfId="0" applyNumberFormat="1" applyFont="1" applyFill="1" applyBorder="1"/>
    <x:xf numFmtId="203" fontId="8" fillId="8" borderId="1" xfId="0" applyNumberFormat="1" applyFont="1" applyFill="1" applyBorder="1"/>
    <x:xf numFmtId="203" fontId="8" fillId="8" borderId="24" xfId="0" applyNumberFormat="1" applyFont="1" applyFill="1" applyBorder="1"/>
    <x:xf numFmtId="205" fontId="8" fillId="8" borderId="11" xfId="0" applyNumberFormat="1" applyFont="1" applyFill="1" applyBorder="1"/>
    <x:xf numFmtId="205" fontId="8" fillId="8" borderId="0" xfId="0" applyNumberFormat="1" applyFont="1" applyFill="1" applyBorder="1"/>
    <x:xf numFmtId="205" fontId="8" fillId="8" borderId="16" xfId="0" applyNumberFormat="1" applyFont="1" applyFill="1" applyBorder="1"/>
    <x:xf numFmtId="205" fontId="8" fillId="8" borderId="19" xfId="0" applyNumberFormat="1" applyFont="1" applyFill="1" applyBorder="1"/>
    <x:xf numFmtId="205" fontId="8" fillId="8" borderId="1" xfId="0" applyNumberFormat="1" applyFont="1" applyFill="1" applyBorder="1"/>
    <x:xf numFmtId="205" fontId="8" fillId="8" borderId="24" xfId="0" applyNumberFormat="1" applyFont="1" applyFill="1" applyBorder="1"/>
    <x:xf numFmtId="203" fontId="8" fillId="8" borderId="10" xfId="0" applyNumberFormat="1" applyFont="1" applyFill="1" applyBorder="1"/>
    <x:xf numFmtId="203" fontId="8" fillId="8" borderId="12" xfId="0" applyNumberFormat="1" applyFont="1" applyFill="1" applyBorder="1"/>
    <x:xf numFmtId="203" fontId="8" fillId="8" borderId="13" xfId="0" applyNumberFormat="1" applyFont="1" applyFill="1" applyBorder="1"/>
    <x:xf numFmtId="203" fontId="8" fillId="8" borderId="14" xfId="0" applyNumberFormat="1" applyFont="1" applyFill="1" applyBorder="1"/>
    <x:xf numFmtId="203" fontId="8" fillId="8" borderId="15" xfId="0" applyNumberFormat="1" applyFont="1" applyFill="1" applyBorder="1"/>
    <x:xf numFmtId="203" fontId="8" fillId="8" borderId="17" xfId="0" applyNumberFormat="1" applyFont="1" applyFill="1" applyBorder="1"/>
    <x:xf numFmtId="203" fontId="8" fillId="8" borderId="18" xfId="0" applyNumberFormat="1" applyFont="1" applyFill="1" applyBorder="1"/>
    <x:xf numFmtId="203" fontId="8" fillId="8" borderId="20" xfId="0" applyNumberFormat="1" applyFont="1" applyFill="1" applyBorder="1"/>
    <x:xf numFmtId="203" fontId="8" fillId="8" borderId="21" xfId="0" applyNumberFormat="1" applyFont="1" applyFill="1" applyBorder="1"/>
    <x:xf numFmtId="203" fontId="8" fillId="8" borderId="22" xfId="0" applyNumberFormat="1" applyFont="1" applyFill="1" applyBorder="1"/>
    <x:xf numFmtId="203" fontId="8" fillId="8" borderId="23" xfId="0" applyNumberFormat="1" applyFont="1" applyFill="1" applyBorder="1"/>
    <x:xf numFmtId="203" fontId="8" fillId="8" borderId="25" xfId="0" applyNumberFormat="1" applyFont="1" applyFill="1" applyBorder="1"/>
    <x:xf numFmtId="201" fontId="8" fillId="8" borderId="5" xfId="0" applyNumberFormat="1" applyFont="1" applyFill="1" applyBorder="1"/>
    <x:xf numFmtId="201" fontId="8" fillId="8" borderId="8" xfId="0" applyNumberFormat="1" applyFont="1" applyFill="1" applyBorder="1"/>
    <x:xf numFmtId="200" fontId="8" fillId="8" borderId="6" xfId="0" applyNumberFormat="1" applyFont="1" applyFill="1" applyBorder="1"/>
    <x:xf numFmtId="200" fontId="8" fillId="8" borderId="9" xfId="0" applyNumberFormat="1" applyFont="1" applyFill="1" applyBorder="1"/>
    <x:xf numFmtId="201" fontId="8" fillId="8" borderId="6" xfId="0" applyNumberFormat="1" applyFont="1" applyFill="1" applyBorder="1"/>
    <x:xf numFmtId="201" fontId="8" fillId="8" borderId="9" xfId="0" applyNumberFormat="1" applyFont="1" applyFill="1" applyBorder="1"/>
    <x:xf numFmtId="201" fontId="8" fillId="8" borderId="11" xfId="0" applyNumberFormat="1" applyFont="1" applyFill="1" applyBorder="1"/>
    <x:xf numFmtId="201" fontId="8" fillId="8" borderId="16" xfId="0" applyNumberFormat="1" applyFont="1" applyFill="1" applyBorder="1"/>
    <x:xf numFmtId="201" fontId="8" fillId="8" borderId="19" xfId="0" applyNumberFormat="1" applyFont="1" applyFill="1" applyBorder="1"/>
    <x:xf numFmtId="201" fontId="8" fillId="8" borderId="24" xfId="0" applyNumberFormat="1" applyFont="1" applyFill="1" applyBorder="1"/>
    <x:xf numFmtId="204" fontId="8" fillId="8" borderId="10" xfId="0" applyNumberFormat="1" applyFont="1" applyFill="1" applyBorder="1"/>
    <x:xf numFmtId="204" fontId="8" fillId="8" borderId="13" xfId="0" applyNumberFormat="1" applyFont="1" applyFill="1" applyBorder="1"/>
    <x:xf numFmtId="204" fontId="8" fillId="8" borderId="15" xfId="0" applyNumberFormat="1" applyFont="1" applyFill="1" applyBorder="1"/>
    <x:xf numFmtId="204" fontId="8" fillId="8" borderId="18" xfId="0" applyNumberFormat="1" applyFont="1" applyFill="1" applyBorder="1"/>
    <x:xf numFmtId="204" fontId="8" fillId="8" borderId="21" xfId="0" applyNumberFormat="1" applyFont="1" applyFill="1" applyBorder="1"/>
    <x:xf numFmtId="204" fontId="8" fillId="8" borderId="23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wrapText="1"/>
    </x:xf>
    <x:xf numFmtId="0" fontId="7" fillId="11" borderId="0" xfId="0" applyNumberFormat="1" applyFont="1" applyFill="1" applyBorder="1" applyAlignment="1">
      <x:alignment vertical="center" wrapText="1"/>
    </x:xf>
    <x:xf numFmtId="0" fontId="7" fillId="11" borderId="1" xfId="0" applyNumberFormat="1" applyFont="1" applyFill="1" applyBorder="1"/>
    <x:xf numFmtId="0" fontId="7" fillId="11" borderId="1" xfId="0" applyNumberFormat="1" applyFont="1" applyFill="1" applyBorder="1" applyAlignment="1">
      <x:alignment wrapText="1"/>
    </x:xf>
    <x:xf numFmtId="0" fontId="7" fillId="11" borderId="1" xfId="0" applyNumberFormat="1" applyFont="1" applyFill="1" applyBorder="1" applyAlignment="1">
      <x:alignment vertical="center" wrapText="1"/>
    </x:xf>
    <x:xf numFmtId="201" fontId="8" fillId="9" borderId="12" xfId="0" applyNumberFormat="1" applyFont="1" applyFill="1" applyBorder="1"/>
    <x:xf numFmtId="201" fontId="8" fillId="9" borderId="14" xfId="0" applyNumberFormat="1" applyFont="1" applyFill="1" applyBorder="1"/>
    <x:xf numFmtId="201" fontId="8" fillId="9" borderId="17" xfId="0" applyNumberFormat="1" applyFont="1" applyFill="1" applyBorder="1"/>
    <x:xf numFmtId="201" fontId="8" fillId="9" borderId="20" xfId="0" applyNumberFormat="1" applyFont="1" applyFill="1" applyBorder="1"/>
    <x:xf numFmtId="201" fontId="8" fillId="9" borderId="22" xfId="0" applyNumberFormat="1" applyFont="1" applyFill="1" applyBorder="1"/>
    <x:xf numFmtId="201" fontId="8" fillId="9" borderId="25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9" fillId="3" borderId="1" xfId="0" applyNumberFormat="1" applyFont="1" applyFill="1" applyBorder="1" applyAlignment="1">
      <x:alignment vertical="top" wrapText="1"/>
    </x:xf>
    <x:xf numFmtId="201" fontId="8" fillId="8" borderId="0" xfId="0" applyNumberFormat="1" applyFont="1" applyFill="1" applyBorder="1"/>
    <x:xf numFmtId="201" fontId="8" fillId="8" borderId="1" xfId="0" applyNumberFormat="1" applyFont="1" applyFill="1" applyBorder="1"/>
    <x:xf numFmtId="201" fontId="8" fillId="8" borderId="12" xfId="0" applyNumberFormat="1" applyFont="1" applyFill="1" applyBorder="1"/>
    <x:xf numFmtId="201" fontId="8" fillId="8" borderId="14" xfId="0" applyNumberFormat="1" applyFont="1" applyFill="1" applyBorder="1"/>
    <x:xf numFmtId="201" fontId="8" fillId="8" borderId="17" xfId="0" applyNumberFormat="1" applyFont="1" applyFill="1" applyBorder="1"/>
    <x:xf numFmtId="201" fontId="8" fillId="8" borderId="20" xfId="0" applyNumberFormat="1" applyFont="1" applyFill="1" applyBorder="1"/>
    <x:xf numFmtId="201" fontId="8" fillId="8" borderId="22" xfId="0" applyNumberFormat="1" applyFont="1" applyFill="1" applyBorder="1"/>
    <x:xf numFmtId="201" fontId="8" fillId="8" borderId="25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7" fillId="6" borderId="1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10" fillId="8" borderId="0" xfId="0" applyNumberFormat="1" applyFont="1" applyFill="1" applyBorder="1"/>
    <x:xf numFmtId="206" fontId="10" fillId="8" borderId="0" xfId="0" applyNumberFormat="1" applyFont="1" applyFill="1" applyBorder="1"/>
    <x:xf numFmtId="206" fontId="10" fillId="8" borderId="0" xfId="0" applyNumberFormat="1" applyFont="1" applyFill="1" applyBorder="1" applyAlignment="1">
      <x:alignment horizontal="center"/>
    </x:xf>
    <x:xf numFmtId="206" fontId="10" fillId="8" borderId="0" xfId="0" applyNumberFormat="1" applyFont="1" applyFill="1" applyBorder="1" applyAlignment="1">
      <x:alignment horizontal="center" vertical="center"/>
    </x:xf>
    <x:xf numFmtId="0" fontId="10" fillId="8" borderId="1" xfId="0" applyNumberFormat="1" applyFont="1" applyFill="1" applyBorder="1"/>
    <x:xf numFmtId="206" fontId="10" fillId="8" borderId="1" xfId="0" applyNumberFormat="1" applyFont="1" applyFill="1" applyBorder="1"/>
    <x:xf numFmtId="206" fontId="10" fillId="8" borderId="1" xfId="0" applyNumberFormat="1" applyFont="1" applyFill="1" applyBorder="1" applyAlignment="1">
      <x:alignment horizontal="center"/>
    </x:xf>
    <x:xf numFmtId="206" fontId="10" fillId="8" borderId="1" xfId="0" applyNumberFormat="1" applyFont="1" applyFill="1" applyBorder="1" applyAlignment="1">
      <x:alignment horizontal="center" vertical="center"/>
    </x:xf>
    <x:xf numFmtId="207" fontId="10" fillId="8" borderId="0" xfId="0" applyNumberFormat="1" applyFont="1" applyFill="1" applyBorder="1"/>
    <x:xf numFmtId="207" fontId="10" fillId="8" borderId="0" xfId="0" applyNumberFormat="1" applyFont="1" applyFill="1" applyBorder="1" applyAlignment="1">
      <x:alignment horizontal="center"/>
    </x:xf>
    <x:xf numFmtId="207" fontId="10" fillId="8" borderId="0" xfId="0" applyNumberFormat="1" applyFont="1" applyFill="1" applyBorder="1" applyAlignment="1">
      <x:alignment horizontal="center" vertical="center"/>
    </x:xf>
    <x:xf numFmtId="207" fontId="10" fillId="8" borderId="1" xfId="0" applyNumberFormat="1" applyFont="1" applyFill="1" applyBorder="1"/>
    <x:xf numFmtId="207" fontId="10" fillId="8" borderId="1" xfId="0" applyNumberFormat="1" applyFont="1" applyFill="1" applyBorder="1" applyAlignment="1">
      <x:alignment horizontal="center"/>
    </x:xf>
    <x:xf numFmtId="207" fontId="10" fillId="8" borderId="1" xfId="0" applyNumberFormat="1" applyFont="1" applyFill="1" applyBorder="1" applyAlignment="1">
      <x:alignment horizontal="center" vertical="center"/>
    </x:xf>
    <x:xf numFmtId="208" fontId="10" fillId="8" borderId="0" xfId="0" applyNumberFormat="1" applyFont="1" applyFill="1" applyBorder="1"/>
    <x:xf numFmtId="208" fontId="10" fillId="8" borderId="0" xfId="0" applyNumberFormat="1" applyFont="1" applyFill="1" applyBorder="1" applyAlignment="1">
      <x:alignment horizontal="center"/>
    </x:xf>
    <x:xf numFmtId="208" fontId="10" fillId="8" borderId="0" xfId="0" applyNumberFormat="1" applyFont="1" applyFill="1" applyBorder="1" applyAlignment="1">
      <x:alignment horizontal="center" vertical="center"/>
    </x:xf>
    <x:xf numFmtId="208" fontId="10" fillId="8" borderId="1" xfId="0" applyNumberFormat="1" applyFont="1" applyFill="1" applyBorder="1"/>
    <x:xf numFmtId="208" fontId="10" fillId="8" borderId="1" xfId="0" applyNumberFormat="1" applyFont="1" applyFill="1" applyBorder="1" applyAlignment="1">
      <x:alignment horizontal="center"/>
    </x:xf>
    <x:xf numFmtId="208" fontId="10" fillId="8" borderId="1" xfId="0" applyNumberFormat="1" applyFont="1" applyFill="1" applyBorder="1" applyAlignment="1">
      <x:alignment horizontal="center" vertical="center"/>
    </x:xf>
    <x:xf numFmtId="209" fontId="10" fillId="8" borderId="0" xfId="0" applyNumberFormat="1" applyFont="1" applyFill="1" applyBorder="1"/>
    <x:xf numFmtId="209" fontId="10" fillId="8" borderId="0" xfId="0" applyNumberFormat="1" applyFont="1" applyFill="1" applyBorder="1" applyAlignment="1">
      <x:alignment horizontal="center"/>
    </x:xf>
    <x:xf numFmtId="209" fontId="10" fillId="8" borderId="0" xfId="0" applyNumberFormat="1" applyFont="1" applyFill="1" applyBorder="1" applyAlignment="1">
      <x:alignment horizontal="center" vertical="center"/>
    </x:xf>
    <x:xf numFmtId="209" fontId="10" fillId="8" borderId="1" xfId="0" applyNumberFormat="1" applyFont="1" applyFill="1" applyBorder="1"/>
    <x:xf numFmtId="209" fontId="10" fillId="8" borderId="1" xfId="0" applyNumberFormat="1" applyFont="1" applyFill="1" applyBorder="1" applyAlignment="1">
      <x:alignment horizontal="center"/>
    </x:xf>
    <x:xf numFmtId="209" fontId="10" fillId="8" borderId="1" xfId="0" applyNumberFormat="1" applyFont="1" applyFill="1" applyBorder="1" applyAlignment="1">
      <x:alignment horizontal="center" vertical="center"/>
    </x:xf>
    <x:xf numFmtId="203" fontId="10" fillId="8" borderId="0" xfId="0" applyNumberFormat="1" applyFont="1" applyFill="1" applyBorder="1"/>
    <x:xf numFmtId="203" fontId="10" fillId="8" borderId="0" xfId="0" applyNumberFormat="1" applyFont="1" applyFill="1" applyBorder="1" applyAlignment="1">
      <x:alignment horizontal="center"/>
    </x:xf>
    <x:xf numFmtId="203" fontId="10" fillId="8" borderId="0" xfId="0" applyNumberFormat="1" applyFont="1" applyFill="1" applyBorder="1" applyAlignment="1">
      <x:alignment horizontal="center" vertical="center"/>
    </x:xf>
    <x:xf numFmtId="203" fontId="10" fillId="8" borderId="1" xfId="0" applyNumberFormat="1" applyFont="1" applyFill="1" applyBorder="1"/>
    <x:xf numFmtId="203" fontId="10" fillId="8" borderId="1" xfId="0" applyNumberFormat="1" applyFont="1" applyFill="1" applyBorder="1" applyAlignment="1">
      <x:alignment horizontal="center"/>
    </x:xf>
    <x:xf numFmtId="203" fontId="10" fillId="8" borderId="1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11" fillId="3" borderId="0" xfId="0" applyNumberFormat="1" applyFont="1" applyFill="1" applyBorder="1"/>
    <x:xf numFmtId="208" fontId="11" fillId="3" borderId="0" xfId="0" applyNumberFormat="1" applyFont="1" applyFill="1" applyBorder="1"/>
    <x:xf numFmtId="208" fontId="11" fillId="3" borderId="0" xfId="0" applyNumberFormat="1" applyFont="1" applyFill="1" applyBorder="1" applyAlignment="1">
      <x:alignment horizontal="center"/>
    </x:xf>
    <x:xf numFmtId="208" fontId="11" fillId="3" borderId="0" xfId="0" applyNumberFormat="1" applyFont="1" applyFill="1" applyBorder="1" applyAlignment="1">
      <x:alignment horizontal="center" vertical="center"/>
    </x:xf>
    <x:xf numFmtId="0" fontId="11" fillId="3" borderId="1" xfId="0" applyNumberFormat="1" applyFont="1" applyFill="1" applyBorder="1"/>
    <x:xf numFmtId="208" fontId="11" fillId="3" borderId="1" xfId="0" applyNumberFormat="1" applyFont="1" applyFill="1" applyBorder="1"/>
    <x:xf numFmtId="208" fontId="11" fillId="3" borderId="1" xfId="0" applyNumberFormat="1" applyFont="1" applyFill="1" applyBorder="1" applyAlignment="1">
      <x:alignment horizontal="center"/>
    </x:xf>
    <x:xf numFmtId="208" fontId="11" fillId="3" borderId="1" xfId="0" applyNumberFormat="1" applyFont="1" applyFill="1" applyBorder="1" applyAlignment="1">
      <x:alignment horizontal="center" vertical="center"/>
    </x:xf>
    <x:xf numFmtId="210" fontId="11" fillId="3" borderId="0" xfId="0" applyNumberFormat="1" applyFont="1" applyFill="1" applyBorder="1"/>
    <x:xf numFmtId="210" fontId="11" fillId="3" borderId="0" xfId="0" applyNumberFormat="1" applyFont="1" applyFill="1" applyBorder="1" applyAlignment="1">
      <x:alignment horizontal="center"/>
    </x:xf>
    <x:xf numFmtId="210" fontId="11" fillId="3" borderId="0" xfId="0" applyNumberFormat="1" applyFont="1" applyFill="1" applyBorder="1" applyAlignment="1">
      <x:alignment horizontal="center" vertical="center"/>
    </x:xf>
    <x:xf numFmtId="210" fontId="11" fillId="3" borderId="1" xfId="0" applyNumberFormat="1" applyFont="1" applyFill="1" applyBorder="1"/>
    <x:xf numFmtId="210" fontId="11" fillId="3" borderId="1" xfId="0" applyNumberFormat="1" applyFont="1" applyFill="1" applyBorder="1" applyAlignment="1">
      <x:alignment horizontal="center"/>
    </x:xf>
    <x:xf numFmtId="210" fontId="11" fillId="3" borderId="1" xfId="0" applyNumberFormat="1" applyFont="1" applyFill="1" applyBorder="1" applyAlignment="1">
      <x:alignment horizontal="center" vertical="center"/>
    </x:xf>
    <x:xf numFmtId="211" fontId="11" fillId="3" borderId="0" xfId="0" applyNumberFormat="1" applyFont="1" applyFill="1" applyBorder="1"/>
    <x:xf numFmtId="211" fontId="11" fillId="3" borderId="0" xfId="0" applyNumberFormat="1" applyFont="1" applyFill="1" applyBorder="1" applyAlignment="1">
      <x:alignment horizontal="center"/>
    </x:xf>
    <x:xf numFmtId="211" fontId="11" fillId="3" borderId="0" xfId="0" applyNumberFormat="1" applyFont="1" applyFill="1" applyBorder="1" applyAlignment="1">
      <x:alignment horizontal="center" vertical="center"/>
    </x:xf>
    <x:xf numFmtId="211" fontId="11" fillId="3" borderId="1" xfId="0" applyNumberFormat="1" applyFont="1" applyFill="1" applyBorder="1"/>
    <x:xf numFmtId="211" fontId="11" fillId="3" borderId="1" xfId="0" applyNumberFormat="1" applyFont="1" applyFill="1" applyBorder="1" applyAlignment="1">
      <x:alignment horizontal="center"/>
    </x:xf>
    <x:xf numFmtId="211" fontId="11" fillId="3" borderId="1" xfId="0" applyNumberFormat="1" applyFont="1" applyFill="1" applyBorder="1" applyAlignment="1">
      <x:alignment horizontal="center" vertical="center"/>
    </x:xf>
    <x:xf numFmtId="212" fontId="11" fillId="3" borderId="0" xfId="0" applyNumberFormat="1" applyFont="1" applyFill="1" applyBorder="1"/>
    <x:xf numFmtId="212" fontId="11" fillId="3" borderId="0" xfId="0" applyNumberFormat="1" applyFont="1" applyFill="1" applyBorder="1" applyAlignment="1">
      <x:alignment horizontal="center"/>
    </x:xf>
    <x:xf numFmtId="212" fontId="11" fillId="3" borderId="0" xfId="0" applyNumberFormat="1" applyFont="1" applyFill="1" applyBorder="1" applyAlignment="1">
      <x:alignment horizontal="center" vertical="center"/>
    </x:xf>
    <x:xf numFmtId="212" fontId="11" fillId="3" borderId="1" xfId="0" applyNumberFormat="1" applyFont="1" applyFill="1" applyBorder="1"/>
    <x:xf numFmtId="212" fontId="11" fillId="3" borderId="1" xfId="0" applyNumberFormat="1" applyFont="1" applyFill="1" applyBorder="1" applyAlignment="1">
      <x:alignment horizontal="center"/>
    </x:xf>
    <x:xf numFmtId="212" fontId="11" fillId="3" borderId="1" xfId="0" applyNumberFormat="1" applyFont="1" applyFill="1" applyBorder="1" applyAlignment="1">
      <x:alignment horizontal="center" vertical="center"/>
    </x:xf>
    <x:xf numFmtId="205" fontId="11" fillId="3" borderId="0" xfId="0" applyNumberFormat="1" applyFont="1" applyFill="1" applyBorder="1"/>
    <x:xf numFmtId="205" fontId="11" fillId="3" borderId="0" xfId="0" applyNumberFormat="1" applyFont="1" applyFill="1" applyBorder="1" applyAlignment="1">
      <x:alignment horizontal="center"/>
    </x:xf>
    <x:xf numFmtId="205" fontId="11" fillId="3" borderId="0" xfId="0" applyNumberFormat="1" applyFont="1" applyFill="1" applyBorder="1" applyAlignment="1">
      <x:alignment horizontal="center" vertical="center"/>
    </x:xf>
    <x:xf numFmtId="205" fontId="11" fillId="3" borderId="1" xfId="0" applyNumberFormat="1" applyFont="1" applyFill="1" applyBorder="1"/>
    <x:xf numFmtId="205" fontId="11" fillId="3" borderId="1" xfId="0" applyNumberFormat="1" applyFont="1" applyFill="1" applyBorder="1" applyAlignment="1">
      <x:alignment horizontal="center"/>
    </x:xf>
    <x:xf numFmtId="205" fontId="11" fillId="3" borderId="1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0" fillId="12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5" fillId="10" borderId="1" xfId="0" applyNumberFormat="1" applyFont="1" applyFill="1" applyBorder="1" applyAlignment="1">
      <x:alignment vertical="center" wrapText="1"/>
    </x:xf>
    <x:xf numFmtId="0" fontId="5" fillId="11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9" borderId="4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 applyAlignment="1">
      <x:alignment vertical="center" wrapText="1"/>
    </x:xf>
    <x:xf numFmtId="0" fontId="8" fillId="9" borderId="5" xfId="0" applyNumberFormat="1" applyFont="1" applyFill="1" applyBorder="1" applyAlignment="1">
      <x:alignment vertical="center"/>
    </x:xf>
    <x:xf numFmtId="202" fontId="8" fillId="9" borderId="5" xfId="0" applyNumberFormat="1" applyFont="1" applyFill="1" applyBorder="1" applyAlignment="1">
      <x:alignment vertical="center"/>
    </x:xf>
    <x:xf numFmtId="201" fontId="8" fillId="9" borderId="5" xfId="0" applyNumberFormat="1" applyFont="1" applyFill="1" applyBorder="1" applyAlignment="1">
      <x:alignment vertical="center"/>
    </x:xf>
    <x:xf numFmtId="200" fontId="8" fillId="9" borderId="5" xfId="0" applyNumberFormat="1" applyFont="1" applyFill="1" applyBorder="1" applyAlignment="1">
      <x:alignment vertical="center"/>
    </x:xf>
    <x:xf numFmtId="203" fontId="8" fillId="9" borderId="5" xfId="0" applyNumberFormat="1" applyFont="1" applyFill="1" applyBorder="1" applyAlignment="1">
      <x:alignment vertical="center"/>
    </x:xf>
    <x:xf numFmtId="201" fontId="0" fillId="6" borderId="0" xfId="0" applyNumberFormat="1" applyFont="1" applyFill="1" applyBorder="1" applyAlignment="1">
      <x:alignment vertical="center" wrapText="1"/>
    </x:xf>
    <x:xf numFmtId="204" fontId="8" fillId="9" borderId="6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vertical="center" wrapText="1"/>
    </x:xf>
    <x:xf numFmtId="0" fontId="8" fillId="9" borderId="7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 applyAlignment="1">
      <x:alignment vertical="center"/>
    </x:xf>
    <x:xf numFmtId="0" fontId="8" fillId="11" borderId="1" xfId="0" applyNumberFormat="1" applyFont="1" applyFill="1" applyBorder="1" applyAlignment="1">
      <x:alignment vertical="center" wrapText="1"/>
    </x:xf>
    <x:xf numFmtId="0" fontId="8" fillId="9" borderId="8" xfId="0" applyNumberFormat="1" applyFont="1" applyFill="1" applyBorder="1" applyAlignment="1">
      <x:alignment vertical="center"/>
    </x:xf>
    <x:xf numFmtId="202" fontId="8" fillId="9" borderId="8" xfId="0" applyNumberFormat="1" applyFont="1" applyFill="1" applyBorder="1" applyAlignment="1">
      <x:alignment vertical="center"/>
    </x:xf>
    <x:xf numFmtId="201" fontId="8" fillId="9" borderId="8" xfId="0" applyNumberFormat="1" applyFont="1" applyFill="1" applyBorder="1" applyAlignment="1">
      <x:alignment vertical="center"/>
    </x:xf>
    <x:xf numFmtId="200" fontId="8" fillId="9" borderId="8" xfId="0" applyNumberFormat="1" applyFont="1" applyFill="1" applyBorder="1" applyAlignment="1">
      <x:alignment vertical="center"/>
    </x:xf>
    <x:xf numFmtId="203" fontId="8" fillId="9" borderId="8" xfId="0" applyNumberFormat="1" applyFont="1" applyFill="1" applyBorder="1" applyAlignment="1">
      <x:alignment vertical="center"/>
    </x:xf>
    <x:xf numFmtId="201" fontId="0" fillId="6" borderId="1" xfId="0" applyNumberFormat="1" applyFont="1" applyFill="1" applyBorder="1" applyAlignment="1">
      <x:alignment vertical="center" wrapText="1"/>
    </x:xf>
    <x:xf numFmtId="204" fontId="8" fillId="9" borderId="9" xfId="0" applyNumberFormat="1" applyFont="1" applyFill="1" applyBorder="1" applyAlignment="1">
      <x:alignment vertical="center"/>
    </x:xf>
    <x:xf numFmtId="0" fontId="8" fillId="9" borderId="10" xfId="0" applyNumberFormat="1" applyFont="1" applyFill="1" applyBorder="1" applyAlignment="1">
      <x:alignment vertical="center"/>
    </x:xf>
    <x:xf numFmtId="0" fontId="8" fillId="9" borderId="11" xfId="0" applyNumberFormat="1" applyFont="1" applyFill="1" applyBorder="1" applyAlignment="1">
      <x:alignment vertical="center"/>
    </x:xf>
    <x:xf numFmtId="202" fontId="8" fillId="9" borderId="11" xfId="0" applyNumberFormat="1" applyFont="1" applyFill="1" applyBorder="1" applyAlignment="1">
      <x:alignment vertical="center"/>
    </x:xf>
    <x:xf numFmtId="203" fontId="8" fillId="9" borderId="11" xfId="0" applyNumberFormat="1" applyFont="1" applyFill="1" applyBorder="1" applyAlignment="1">
      <x:alignment vertical="center"/>
    </x:xf>
    <x:xf numFmtId="202" fontId="8" fillId="9" borderId="12" xfId="0" applyNumberFormat="1" applyFont="1" applyFill="1" applyBorder="1" applyAlignment="1">
      <x:alignment vertical="center"/>
    </x:xf>
    <x:xf numFmtId="202" fontId="8" fillId="8" borderId="10" xfId="0" applyNumberFormat="1" applyFont="1" applyFill="1" applyBorder="1" applyAlignment="1">
      <x:alignment vertical="center"/>
    </x:xf>
    <x:xf numFmtId="202" fontId="8" fillId="8" borderId="4" xfId="0" applyNumberFormat="1" applyFont="1" applyFill="1" applyBorder="1" applyAlignment="1">
      <x:alignment vertical="center"/>
    </x:xf>
    <x:xf numFmtId="203" fontId="8" fillId="8" borderId="11" xfId="0" applyNumberFormat="1" applyFont="1" applyFill="1" applyBorder="1" applyAlignment="1">
      <x:alignment vertical="center"/>
    </x:xf>
    <x:xf numFmtId="205" fontId="8" fillId="8" borderId="11" xfId="0" applyNumberFormat="1" applyFont="1" applyFill="1" applyBorder="1" applyAlignment="1">
      <x:alignment vertical="center"/>
    </x:xf>
    <x:xf numFmtId="202" fontId="8" fillId="8" borderId="11" xfId="0" applyNumberFormat="1" applyFont="1" applyFill="1" applyBorder="1" applyAlignment="1">
      <x:alignment vertical="center"/>
    </x:xf>
    <x:xf numFmtId="202" fontId="8" fillId="8" borderId="12" xfId="0" applyNumberFormat="1" applyFont="1" applyFill="1" applyBorder="1" applyAlignment="1">
      <x:alignment vertical="center"/>
    </x:xf>
    <x:xf numFmtId="0" fontId="8" fillId="9" borderId="13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202" fontId="8" fillId="9" borderId="0" xfId="0" applyNumberFormat="1" applyFont="1" applyFill="1" applyBorder="1" applyAlignment="1">
      <x:alignment vertical="center"/>
    </x:xf>
    <x:xf numFmtId="203" fontId="8" fillId="9" borderId="0" xfId="0" applyNumberFormat="1" applyFont="1" applyFill="1" applyBorder="1" applyAlignment="1">
      <x:alignment vertical="center"/>
    </x:xf>
    <x:xf numFmtId="202" fontId="8" fillId="9" borderId="14" xfId="0" applyNumberFormat="1" applyFont="1" applyFill="1" applyBorder="1" applyAlignment="1">
      <x:alignment vertical="center"/>
    </x:xf>
    <x:xf numFmtId="202" fontId="8" fillId="8" borderId="13" xfId="0" applyNumberFormat="1" applyFont="1" applyFill="1" applyBorder="1" applyAlignment="1">
      <x:alignment vertical="center"/>
    </x:xf>
    <x:xf numFmtId="202" fontId="8" fillId="8" borderId="5" xfId="0" applyNumberFormat="1" applyFont="1" applyFill="1" applyBorder="1" applyAlignment="1">
      <x:alignment vertical="center"/>
    </x:xf>
    <x:xf numFmtId="203" fontId="8" fillId="8" borderId="0" xfId="0" applyNumberFormat="1" applyFont="1" applyFill="1" applyBorder="1" applyAlignment="1">
      <x:alignment vertical="center"/>
    </x:xf>
    <x:xf numFmtId="205" fontId="8" fillId="8" borderId="0" xfId="0" applyNumberFormat="1" applyFont="1" applyFill="1" applyBorder="1" applyAlignment="1">
      <x:alignment vertical="center"/>
    </x:xf>
    <x:xf numFmtId="202" fontId="8" fillId="8" borderId="0" xfId="0" applyNumberFormat="1" applyFont="1" applyFill="1" applyBorder="1" applyAlignment="1">
      <x:alignment vertical="center"/>
    </x:xf>
    <x:xf numFmtId="202" fontId="8" fillId="8" borderId="14" xfId="0" applyNumberFormat="1" applyFont="1" applyFill="1" applyBorder="1" applyAlignment="1">
      <x:alignment vertical="center"/>
    </x:xf>
    <x:xf numFmtId="0" fontId="8" fillId="9" borderId="15" xfId="0" applyNumberFormat="1" applyFont="1" applyFill="1" applyBorder="1" applyAlignment="1">
      <x:alignment vertical="center"/>
    </x:xf>
    <x:xf numFmtId="0" fontId="8" fillId="9" borderId="16" xfId="0" applyNumberFormat="1" applyFont="1" applyFill="1" applyBorder="1" applyAlignment="1">
      <x:alignment vertical="center"/>
    </x:xf>
    <x:xf numFmtId="202" fontId="8" fillId="9" borderId="16" xfId="0" applyNumberFormat="1" applyFont="1" applyFill="1" applyBorder="1" applyAlignment="1">
      <x:alignment vertical="center"/>
    </x:xf>
    <x:xf numFmtId="203" fontId="8" fillId="9" borderId="16" xfId="0" applyNumberFormat="1" applyFont="1" applyFill="1" applyBorder="1" applyAlignment="1">
      <x:alignment vertical="center"/>
    </x:xf>
    <x:xf numFmtId="202" fontId="8" fillId="9" borderId="17" xfId="0" applyNumberFormat="1" applyFont="1" applyFill="1" applyBorder="1" applyAlignment="1">
      <x:alignment vertical="center"/>
    </x:xf>
    <x:xf numFmtId="202" fontId="8" fillId="8" borderId="15" xfId="0" applyNumberFormat="1" applyFont="1" applyFill="1" applyBorder="1" applyAlignment="1">
      <x:alignment vertical="center"/>
    </x:xf>
    <x:xf numFmtId="202" fontId="8" fillId="8" borderId="6" xfId="0" applyNumberFormat="1" applyFont="1" applyFill="1" applyBorder="1" applyAlignment="1">
      <x:alignment vertical="center"/>
    </x:xf>
    <x:xf numFmtId="203" fontId="8" fillId="8" borderId="16" xfId="0" applyNumberFormat="1" applyFont="1" applyFill="1" applyBorder="1" applyAlignment="1">
      <x:alignment vertical="center"/>
    </x:xf>
    <x:xf numFmtId="205" fontId="8" fillId="8" borderId="16" xfId="0" applyNumberFormat="1" applyFont="1" applyFill="1" applyBorder="1" applyAlignment="1">
      <x:alignment vertical="center"/>
    </x:xf>
    <x:xf numFmtId="202" fontId="8" fillId="8" borderId="16" xfId="0" applyNumberFormat="1" applyFont="1" applyFill="1" applyBorder="1" applyAlignment="1">
      <x:alignment vertical="center"/>
    </x:xf>
    <x:xf numFmtId="202" fontId="8" fillId="8" borderId="17" xfId="0" applyNumberFormat="1" applyFont="1" applyFill="1" applyBorder="1" applyAlignment="1">
      <x:alignment vertical="center"/>
    </x:xf>
    <x:xf numFmtId="0" fontId="8" fillId="9" borderId="6" xfId="0" applyNumberFormat="1" applyFont="1" applyFill="1" applyBorder="1" applyAlignment="1">
      <x:alignment vertical="center"/>
    </x:xf>
    <x:xf numFmtId="203" fontId="8" fillId="8" borderId="10" xfId="0" applyNumberFormat="1" applyFont="1" applyFill="1" applyBorder="1" applyAlignment="1">
      <x:alignment vertical="center"/>
    </x:xf>
    <x:xf numFmtId="203" fontId="8" fillId="8" borderId="12" xfId="0" applyNumberFormat="1" applyFont="1" applyFill="1" applyBorder="1" applyAlignment="1">
      <x:alignment vertical="center"/>
    </x:xf>
    <x:xf numFmtId="203" fontId="8" fillId="8" borderId="13" xfId="0" applyNumberFormat="1" applyFont="1" applyFill="1" applyBorder="1" applyAlignment="1">
      <x:alignment vertical="center"/>
    </x:xf>
    <x:xf numFmtId="203" fontId="8" fillId="8" borderId="14" xfId="0" applyNumberFormat="1" applyFont="1" applyFill="1" applyBorder="1" applyAlignment="1">
      <x:alignment vertical="center"/>
    </x:xf>
    <x:xf numFmtId="203" fontId="8" fillId="8" borderId="15" xfId="0" applyNumberFormat="1" applyFont="1" applyFill="1" applyBorder="1" applyAlignment="1">
      <x:alignment vertical="center"/>
    </x:xf>
    <x:xf numFmtId="203" fontId="8" fillId="8" borderId="17" xfId="0" applyNumberFormat="1" applyFont="1" applyFill="1" applyBorder="1" applyAlignment="1">
      <x:alignment vertical="center"/>
    </x:xf>
    <x:xf numFmtId="0" fontId="8" fillId="9" borderId="18" xfId="0" applyNumberFormat="1" applyFont="1" applyFill="1" applyBorder="1" applyAlignment="1">
      <x:alignment vertical="center"/>
    </x:xf>
    <x:xf numFmtId="0" fontId="8" fillId="9" borderId="19" xfId="0" applyNumberFormat="1" applyFont="1" applyFill="1" applyBorder="1" applyAlignment="1">
      <x:alignment vertical="center"/>
    </x:xf>
    <x:xf numFmtId="202" fontId="8" fillId="9" borderId="19" xfId="0" applyNumberFormat="1" applyFont="1" applyFill="1" applyBorder="1" applyAlignment="1">
      <x:alignment vertical="center"/>
    </x:xf>
    <x:xf numFmtId="203" fontId="8" fillId="9" borderId="19" xfId="0" applyNumberFormat="1" applyFont="1" applyFill="1" applyBorder="1" applyAlignment="1">
      <x:alignment vertical="center"/>
    </x:xf>
    <x:xf numFmtId="202" fontId="8" fillId="9" borderId="20" xfId="0" applyNumberFormat="1" applyFont="1" applyFill="1" applyBorder="1" applyAlignment="1">
      <x:alignment vertical="center"/>
    </x:xf>
    <x:xf numFmtId="202" fontId="8" fillId="8" borderId="18" xfId="0" applyNumberFormat="1" applyFont="1" applyFill="1" applyBorder="1" applyAlignment="1">
      <x:alignment vertical="center"/>
    </x:xf>
    <x:xf numFmtId="202" fontId="8" fillId="8" borderId="7" xfId="0" applyNumberFormat="1" applyFont="1" applyFill="1" applyBorder="1" applyAlignment="1">
      <x:alignment vertical="center"/>
    </x:xf>
    <x:xf numFmtId="203" fontId="8" fillId="8" borderId="19" xfId="0" applyNumberFormat="1" applyFont="1" applyFill="1" applyBorder="1" applyAlignment="1">
      <x:alignment vertical="center"/>
    </x:xf>
    <x:xf numFmtId="205" fontId="8" fillId="8" borderId="19" xfId="0" applyNumberFormat="1" applyFont="1" applyFill="1" applyBorder="1" applyAlignment="1">
      <x:alignment vertical="center"/>
    </x:xf>
    <x:xf numFmtId="202" fontId="8" fillId="8" borderId="19" xfId="0" applyNumberFormat="1" applyFont="1" applyFill="1" applyBorder="1" applyAlignment="1">
      <x:alignment vertical="center"/>
    </x:xf>
    <x:xf numFmtId="202" fontId="8" fillId="8" borderId="20" xfId="0" applyNumberFormat="1" applyFont="1" applyFill="1" applyBorder="1" applyAlignment="1">
      <x:alignment vertical="center"/>
    </x:xf>
    <x:xf numFmtId="0" fontId="8" fillId="9" borderId="21" xfId="0" applyNumberFormat="1" applyFont="1" applyFill="1" applyBorder="1" applyAlignment="1">
      <x:alignment vertical="center"/>
    </x:xf>
    <x:xf numFmtId="0" fontId="8" fillId="9" borderId="1" xfId="0" applyNumberFormat="1" applyFont="1" applyFill="1" applyBorder="1" applyAlignment="1">
      <x:alignment vertical="center"/>
    </x:xf>
    <x:xf numFmtId="202" fontId="8" fillId="9" borderId="1" xfId="0" applyNumberFormat="1" applyFont="1" applyFill="1" applyBorder="1" applyAlignment="1">
      <x:alignment vertical="center"/>
    </x:xf>
    <x:xf numFmtId="203" fontId="8" fillId="9" borderId="1" xfId="0" applyNumberFormat="1" applyFont="1" applyFill="1" applyBorder="1" applyAlignment="1">
      <x:alignment vertical="center"/>
    </x:xf>
    <x:xf numFmtId="202" fontId="8" fillId="9" borderId="22" xfId="0" applyNumberFormat="1" applyFont="1" applyFill="1" applyBorder="1" applyAlignment="1">
      <x:alignment vertical="center"/>
    </x:xf>
    <x:xf numFmtId="202" fontId="8" fillId="8" borderId="21" xfId="0" applyNumberFormat="1" applyFont="1" applyFill="1" applyBorder="1" applyAlignment="1">
      <x:alignment vertical="center"/>
    </x:xf>
    <x:xf numFmtId="202" fontId="8" fillId="8" borderId="8" xfId="0" applyNumberFormat="1" applyFont="1" applyFill="1" applyBorder="1" applyAlignment="1">
      <x:alignment vertical="center"/>
    </x:xf>
    <x:xf numFmtId="203" fontId="8" fillId="8" borderId="1" xfId="0" applyNumberFormat="1" applyFont="1" applyFill="1" applyBorder="1" applyAlignment="1">
      <x:alignment vertical="center"/>
    </x:xf>
    <x:xf numFmtId="205" fontId="8" fillId="8" borderId="1" xfId="0" applyNumberFormat="1" applyFont="1" applyFill="1" applyBorder="1" applyAlignment="1">
      <x:alignment vertical="center"/>
    </x:xf>
    <x:xf numFmtId="202" fontId="8" fillId="8" borderId="1" xfId="0" applyNumberFormat="1" applyFont="1" applyFill="1" applyBorder="1" applyAlignment="1">
      <x:alignment vertical="center"/>
    </x:xf>
    <x:xf numFmtId="202" fontId="8" fillId="8" borderId="22" xfId="0" applyNumberFormat="1" applyFont="1" applyFill="1" applyBorder="1" applyAlignment="1">
      <x:alignment vertical="center"/>
    </x:xf>
    <x:xf numFmtId="0" fontId="8" fillId="9" borderId="23" xfId="0" applyNumberFormat="1" applyFont="1" applyFill="1" applyBorder="1" applyAlignment="1">
      <x:alignment vertical="center"/>
    </x:xf>
    <x:xf numFmtId="0" fontId="8" fillId="9" borderId="24" xfId="0" applyNumberFormat="1" applyFont="1" applyFill="1" applyBorder="1" applyAlignment="1">
      <x:alignment vertical="center"/>
    </x:xf>
    <x:xf numFmtId="202" fontId="8" fillId="9" borderId="24" xfId="0" applyNumberFormat="1" applyFont="1" applyFill="1" applyBorder="1" applyAlignment="1">
      <x:alignment vertical="center"/>
    </x:xf>
    <x:xf numFmtId="203" fontId="8" fillId="9" borderId="24" xfId="0" applyNumberFormat="1" applyFont="1" applyFill="1" applyBorder="1" applyAlignment="1">
      <x:alignment vertical="center"/>
    </x:xf>
    <x:xf numFmtId="202" fontId="8" fillId="9" borderId="25" xfId="0" applyNumberFormat="1" applyFont="1" applyFill="1" applyBorder="1" applyAlignment="1">
      <x:alignment vertical="center"/>
    </x:xf>
    <x:xf numFmtId="202" fontId="8" fillId="8" borderId="23" xfId="0" applyNumberFormat="1" applyFont="1" applyFill="1" applyBorder="1" applyAlignment="1">
      <x:alignment vertical="center"/>
    </x:xf>
    <x:xf numFmtId="202" fontId="8" fillId="8" borderId="9" xfId="0" applyNumberFormat="1" applyFont="1" applyFill="1" applyBorder="1" applyAlignment="1">
      <x:alignment vertical="center"/>
    </x:xf>
    <x:xf numFmtId="203" fontId="8" fillId="8" borderId="24" xfId="0" applyNumberFormat="1" applyFont="1" applyFill="1" applyBorder="1" applyAlignment="1">
      <x:alignment vertical="center"/>
    </x:xf>
    <x:xf numFmtId="205" fontId="8" fillId="8" borderId="24" xfId="0" applyNumberFormat="1" applyFont="1" applyFill="1" applyBorder="1" applyAlignment="1">
      <x:alignment vertical="center"/>
    </x:xf>
    <x:xf numFmtId="202" fontId="8" fillId="8" borderId="24" xfId="0" applyNumberFormat="1" applyFont="1" applyFill="1" applyBorder="1" applyAlignment="1">
      <x:alignment vertical="center"/>
    </x:xf>
    <x:xf numFmtId="202" fontId="8" fillId="8" borderId="25" xfId="0" applyNumberFormat="1" applyFont="1" applyFill="1" applyBorder="1" applyAlignment="1">
      <x:alignment vertical="center"/>
    </x:xf>
    <x:xf numFmtId="0" fontId="8" fillId="9" borderId="9" xfId="0" applyNumberFormat="1" applyFont="1" applyFill="1" applyBorder="1" applyAlignment="1">
      <x:alignment vertical="center"/>
    </x:xf>
    <x:xf numFmtId="203" fontId="8" fillId="8" borderId="18" xfId="0" applyNumberFormat="1" applyFont="1" applyFill="1" applyBorder="1" applyAlignment="1">
      <x:alignment vertical="center"/>
    </x:xf>
    <x:xf numFmtId="203" fontId="8" fillId="8" borderId="20" xfId="0" applyNumberFormat="1" applyFont="1" applyFill="1" applyBorder="1" applyAlignment="1">
      <x:alignment vertical="center"/>
    </x:xf>
    <x:xf numFmtId="203" fontId="8" fillId="8" borderId="21" xfId="0" applyNumberFormat="1" applyFont="1" applyFill="1" applyBorder="1" applyAlignment="1">
      <x:alignment vertical="center"/>
    </x:xf>
    <x:xf numFmtId="203" fontId="8" fillId="8" borderId="22" xfId="0" applyNumberFormat="1" applyFont="1" applyFill="1" applyBorder="1" applyAlignment="1">
      <x:alignment vertical="center"/>
    </x:xf>
    <x:xf numFmtId="203" fontId="8" fillId="8" borderId="23" xfId="0" applyNumberFormat="1" applyFont="1" applyFill="1" applyBorder="1" applyAlignment="1">
      <x:alignment vertical="center"/>
    </x:xf>
    <x:xf numFmtId="203" fontId="8" fillId="8" borderId="25" xfId="0" applyNumberFormat="1" applyFont="1" applyFill="1" applyBorder="1" applyAlignment="1">
      <x:alignment vertical="center"/>
    </x:xf>
    <x:xf numFmtId="201" fontId="8" fillId="8" borderId="5" xfId="0" applyNumberFormat="1" applyFont="1" applyFill="1" applyBorder="1" applyAlignment="1">
      <x:alignment vertical="center"/>
    </x:xf>
    <x:xf numFmtId="201" fontId="8" fillId="8" borderId="6" xfId="0" applyNumberFormat="1" applyFont="1" applyFill="1" applyBorder="1" applyAlignment="1">
      <x:alignment vertical="center"/>
    </x:xf>
    <x:xf numFmtId="200" fontId="8" fillId="8" borderId="6" xfId="0" applyNumberFormat="1" applyFont="1" applyFill="1" applyBorder="1" applyAlignment="1">
      <x:alignment vertical="center"/>
    </x:xf>
    <x:xf numFmtId="201" fontId="8" fillId="8" borderId="11" xfId="0" applyNumberFormat="1" applyFont="1" applyFill="1" applyBorder="1" applyAlignment="1">
      <x:alignment vertical="center"/>
    </x:xf>
    <x:xf numFmtId="201" fontId="8" fillId="8" borderId="16" xfId="0" applyNumberFormat="1" applyFont="1" applyFill="1" applyBorder="1" applyAlignment="1">
      <x:alignment vertical="center"/>
    </x:xf>
    <x:xf numFmtId="204" fontId="8" fillId="8" borderId="10" xfId="0" applyNumberFormat="1" applyFont="1" applyFill="1" applyBorder="1" applyAlignment="1">
      <x:alignment vertical="center"/>
    </x:xf>
    <x:xf numFmtId="0" fontId="8" fillId="8" borderId="12" xfId="0" applyNumberFormat="1" applyFont="1" applyFill="1" applyBorder="1" applyAlignment="1">
      <x:alignment vertical="center"/>
    </x:xf>
    <x:xf numFmtId="204" fontId="8" fillId="8" borderId="13" xfId="0" applyNumberFormat="1" applyFont="1" applyFill="1" applyBorder="1" applyAlignment="1">
      <x:alignment vertical="center"/>
    </x:xf>
    <x:xf numFmtId="0" fontId="8" fillId="8" borderId="14" xfId="0" applyNumberFormat="1" applyFont="1" applyFill="1" applyBorder="1" applyAlignment="1">
      <x:alignment vertical="center"/>
    </x:xf>
    <x:xf numFmtId="204" fontId="8" fillId="8" borderId="15" xfId="0" applyNumberFormat="1" applyFont="1" applyFill="1" applyBorder="1" applyAlignment="1">
      <x:alignment vertical="center"/>
    </x:xf>
    <x:xf numFmtId="0" fontId="8" fillId="8" borderId="17" xfId="0" applyNumberFormat="1" applyFont="1" applyFill="1" applyBorder="1" applyAlignment="1">
      <x:alignment vertical="center"/>
    </x:xf>
    <x:xf numFmtId="201" fontId="8" fillId="8" borderId="8" xfId="0" applyNumberFormat="1" applyFont="1" applyFill="1" applyBorder="1" applyAlignment="1">
      <x:alignment vertical="center"/>
    </x:xf>
    <x:xf numFmtId="201" fontId="8" fillId="8" borderId="9" xfId="0" applyNumberFormat="1" applyFont="1" applyFill="1" applyBorder="1" applyAlignment="1">
      <x:alignment vertical="center"/>
    </x:xf>
    <x:xf numFmtId="200" fontId="8" fillId="8" borderId="9" xfId="0" applyNumberFormat="1" applyFont="1" applyFill="1" applyBorder="1" applyAlignment="1">
      <x:alignment vertical="center"/>
    </x:xf>
    <x:xf numFmtId="201" fontId="8" fillId="8" borderId="19" xfId="0" applyNumberFormat="1" applyFont="1" applyFill="1" applyBorder="1" applyAlignment="1">
      <x:alignment vertical="center"/>
    </x:xf>
    <x:xf numFmtId="201" fontId="8" fillId="8" borderId="24" xfId="0" applyNumberFormat="1" applyFont="1" applyFill="1" applyBorder="1" applyAlignment="1">
      <x:alignment vertical="center"/>
    </x:xf>
    <x:xf numFmtId="204" fontId="8" fillId="8" borderId="18" xfId="0" applyNumberFormat="1" applyFont="1" applyFill="1" applyBorder="1" applyAlignment="1">
      <x:alignment vertical="center"/>
    </x:xf>
    <x:xf numFmtId="0" fontId="8" fillId="8" borderId="20" xfId="0" applyNumberFormat="1" applyFont="1" applyFill="1" applyBorder="1" applyAlignment="1">
      <x:alignment vertical="center"/>
    </x:xf>
    <x:xf numFmtId="204" fontId="8" fillId="8" borderId="21" xfId="0" applyNumberFormat="1" applyFont="1" applyFill="1" applyBorder="1" applyAlignment="1">
      <x:alignment vertical="center"/>
    </x:xf>
    <x:xf numFmtId="0" fontId="8" fillId="8" borderId="22" xfId="0" applyNumberFormat="1" applyFont="1" applyFill="1" applyBorder="1" applyAlignment="1">
      <x:alignment vertical="center"/>
    </x:xf>
    <x:xf numFmtId="204" fontId="8" fillId="8" borderId="23" xfId="0" applyNumberFormat="1" applyFont="1" applyFill="1" applyBorder="1" applyAlignment="1">
      <x:alignment vertical="center"/>
    </x:xf>
    <x:xf numFmtId="0" fontId="8" fillId="8" borderId="25" xfId="0" applyNumberFormat="1" applyFont="1" applyFill="1" applyBorder="1" applyAlignment="1">
      <x:alignment vertical="center"/>
    </x:xf>
    <x:xf numFmtId="201" fontId="8" fillId="9" borderId="12" xfId="0" applyNumberFormat="1" applyFont="1" applyFill="1" applyBorder="1" applyAlignment="1">
      <x:alignment vertical="center"/>
    </x:xf>
    <x:xf numFmtId="201" fontId="8" fillId="9" borderId="14" xfId="0" applyNumberFormat="1" applyFont="1" applyFill="1" applyBorder="1" applyAlignment="1">
      <x:alignment vertical="center"/>
    </x:xf>
    <x:xf numFmtId="201" fontId="8" fillId="9" borderId="17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201" fontId="8" fillId="9" borderId="20" xfId="0" applyNumberFormat="1" applyFont="1" applyFill="1" applyBorder="1" applyAlignment="1">
      <x:alignment vertical="center"/>
    </x:xf>
    <x:xf numFmtId="201" fontId="8" fillId="9" borderId="22" xfId="0" applyNumberFormat="1" applyFont="1" applyFill="1" applyBorder="1" applyAlignment="1">
      <x:alignment vertical="center"/>
    </x:xf>
    <x:xf numFmtId="201" fontId="8" fillId="9" borderId="25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 applyAlignment="1">
      <x:alignment vertical="center" wrapText="1"/>
    </x:xf>
    <x:xf numFmtId="0" fontId="8" fillId="8" borderId="10" xfId="0" applyNumberFormat="1" applyFont="1" applyFill="1" applyBorder="1" applyAlignment="1">
      <x:alignment vertical="center"/>
    </x:xf>
    <x:xf numFmtId="0" fontId="8" fillId="8" borderId="11" xfId="0" applyNumberFormat="1" applyFont="1" applyFill="1" applyBorder="1" applyAlignment="1">
      <x:alignment vertical="center"/>
    </x:xf>
    <x:xf numFmtId="0" fontId="8" fillId="8" borderId="13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201" fontId="8" fillId="8" borderId="0" xfId="0" applyNumberFormat="1" applyFont="1" applyFill="1" applyBorder="1" applyAlignment="1">
      <x:alignment vertical="center"/>
    </x:xf>
    <x:xf numFmtId="0" fontId="8" fillId="8" borderId="15" xfId="0" applyNumberFormat="1" applyFont="1" applyFill="1" applyBorder="1" applyAlignment="1">
      <x:alignment vertical="center"/>
    </x:xf>
    <x:xf numFmtId="0" fontId="8" fillId="8" borderId="16" xfId="0" applyNumberFormat="1" applyFont="1" applyFill="1" applyBorder="1" applyAlignment="1">
      <x:alignment vertical="center"/>
    </x:xf>
    <x:xf numFmtId="201" fontId="8" fillId="8" borderId="12" xfId="0" applyNumberFormat="1" applyFont="1" applyFill="1" applyBorder="1" applyAlignment="1">
      <x:alignment vertical="center"/>
    </x:xf>
    <x:xf numFmtId="201" fontId="8" fillId="8" borderId="14" xfId="0" applyNumberFormat="1" applyFont="1" applyFill="1" applyBorder="1" applyAlignment="1">
      <x:alignment vertical="center"/>
    </x:xf>
    <x:xf numFmtId="201" fontId="8" fillId="8" borderId="17" xfId="0" applyNumberFormat="1" applyFont="1" applyFill="1" applyBorder="1" applyAlignment="1">
      <x:alignment vertical="center"/>
    </x:xf>
    <x:xf numFmtId="0" fontId="8" fillId="8" borderId="18" xfId="0" applyNumberFormat="1" applyFont="1" applyFill="1" applyBorder="1" applyAlignment="1">
      <x:alignment vertical="center"/>
    </x:xf>
    <x:xf numFmtId="0" fontId="8" fillId="8" borderId="19" xfId="0" applyNumberFormat="1" applyFont="1" applyFill="1" applyBorder="1" applyAlignment="1">
      <x:alignment vertical="center"/>
    </x:xf>
    <x:xf numFmtId="0" fontId="8" fillId="8" borderId="21" xfId="0" applyNumberFormat="1" applyFont="1" applyFill="1" applyBorder="1" applyAlignment="1">
      <x:alignment vertical="center"/>
    </x:xf>
    <x:xf numFmtId="0" fontId="8" fillId="8" borderId="1" xfId="0" applyNumberFormat="1" applyFont="1" applyFill="1" applyBorder="1" applyAlignment="1">
      <x:alignment vertical="center"/>
    </x:xf>
    <x:xf numFmtId="201" fontId="8" fillId="8" borderId="1" xfId="0" applyNumberFormat="1" applyFont="1" applyFill="1" applyBorder="1" applyAlignment="1">
      <x:alignment vertical="center"/>
    </x:xf>
    <x:xf numFmtId="0" fontId="8" fillId="8" borderId="23" xfId="0" applyNumberFormat="1" applyFont="1" applyFill="1" applyBorder="1" applyAlignment="1">
      <x:alignment vertical="center"/>
    </x:xf>
    <x:xf numFmtId="0" fontId="8" fillId="8" borderId="24" xfId="0" applyNumberFormat="1" applyFont="1" applyFill="1" applyBorder="1" applyAlignment="1">
      <x:alignment vertical="center"/>
    </x:xf>
    <x:xf numFmtId="201" fontId="8" fillId="8" borderId="20" xfId="0" applyNumberFormat="1" applyFont="1" applyFill="1" applyBorder="1" applyAlignment="1">
      <x:alignment vertical="center"/>
    </x:xf>
    <x:xf numFmtId="201" fontId="8" fillId="8" borderId="22" xfId="0" applyNumberFormat="1" applyFont="1" applyFill="1" applyBorder="1" applyAlignment="1">
      <x:alignment vertical="center"/>
    </x:xf>
    <x:xf numFmtId="201" fontId="8" fillId="8" borderId="25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2" fillId="0" borderId="1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F7A8C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1F7A8C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bca32e50948c1" /><Relationship Type="http://schemas.openxmlformats.org/officeDocument/2006/relationships/theme" Target="/xl/theme/theme1.xml" Id="R747c41643dec4179" /><Relationship Type="http://schemas.openxmlformats.org/officeDocument/2006/relationships/sharedStrings" Target="/xl/sharedStrings.xml" Id="Ra593c20fb2384457" /><Relationship Type="http://schemas.openxmlformats.org/officeDocument/2006/relationships/worksheet" Target="/xl/worksheets/sheet1.xml" Id="Rdc3bcd3dfee64d39" /><Relationship Type="http://schemas.openxmlformats.org/officeDocument/2006/relationships/worksheet" Target="/xl/worksheets/sheet2.xml" Id="Ra554068814964950" /><Relationship Type="http://schemas.openxmlformats.org/officeDocument/2006/relationships/worksheet" Target="/xl/worksheets/sheet3.xml" Id="R326011d06aac46a9" /><Relationship Type="http://schemas.openxmlformats.org/officeDocument/2006/relationships/worksheet" Target="/xl/worksheets/sheet4.xml" Id="Re7de9c9eafc84ba1" /><Relationship Type="http://schemas.openxmlformats.org/officeDocument/2006/relationships/worksheet" Target="/xl/worksheets/sheet5.xml" Id="R375b61e8cf7947ae" /><Relationship Type="http://schemas.openxmlformats.org/officeDocument/2006/relationships/worksheet" Target="/xl/worksheets/sheet6.xml" Id="R73916bc33a80441c" /><Relationship Type="http://schemas.openxmlformats.org/officeDocument/2006/relationships/worksheet" Target="/xl/worksheets/sheet7.xml" Id="R62824bc64d0a4982" /><Relationship Type="http://schemas.openxmlformats.org/officeDocument/2006/relationships/worksheet" Target="/xl/worksheets/sheet8.xml" Id="Recf69243e91442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b6d4f0b4f54455" /><Relationship Type="http://schemas.openxmlformats.org/officeDocument/2006/relationships/chart" Target="/xl/drawings/charts/chart2.xml" Id="R112d2e47311c407c" /><Relationship Type="http://schemas.openxmlformats.org/officeDocument/2006/relationships/chart" Target="/xl/drawings/charts/chart3.xml" Id="R3125c46c16704d7a" /><Relationship Type="http://schemas.openxmlformats.org/officeDocument/2006/relationships/chart" Target="/xl/drawings/charts/chart4.xml" Id="R20e573125e624e4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Producción según factor de planificación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Producción</c:v>
          </c:tx>
          <c:cat>
            <c:strRef>
              <c:f>'06_Dashboard_Plan'!$Q$3:$Q$9</c:f>
              <c:strCache>
                <c:ptCount val="0"/>
              </c:strCache>
            </c:strRef>
          </c:cat>
          <c:val>
            <c:numRef>
              <c:f>'06_Dashboard_Plan'!$R$3:$R$9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Sensibilidad: producción y duración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Producción</c:v>
          </c:tx>
          <c:cat>
            <c:strRef>
              <c:f>'06_Dashboard_Plan'!$Q$3:$Q$9</c:f>
              <c:strCache>
                <c:ptCount val="0"/>
              </c:strCache>
            </c:strRef>
          </c:cat>
          <c:val>
            <c:numRef>
              <c:f>'06_Dashboard_Plan'!$R$3:$R$9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Duración h</c:v>
          </c:tx>
          <c:cat>
            <c:strRef>
              <c:f>'06_Dashboard_Plan'!$Q$3:$Q$9</c:f>
              <c:strCache>
                <c:ptCount val="0"/>
              </c:strCache>
            </c:strRef>
          </c:cat>
          <c:val>
            <c:numRef>
              <c:f>'06_Dashboard_Plan'!$S$3:$S$9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Costo planificado por categoría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Costo plan</c:v>
          </c:tx>
          <c:cat>
            <c:strRef>
              <c:f>'06_Dashboard_Plan'!$Q$13:$Q$15</c:f>
              <c:strCache>
                <c:ptCount val="0"/>
              </c:strCache>
            </c:strRef>
          </c:cat>
          <c:val>
            <c:numRef>
              <c:f>'06_Dashboard_Plan'!$R$13:$R$15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Consumo planificado por recurso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Consumo plan</c:v>
          </c:tx>
          <c:cat>
            <c:strRef>
              <c:f>'06_Dashboard_Plan'!$Q$19:$Q$26</c:f>
              <c:strCache>
                <c:ptCount val="0"/>
              </c:strCache>
            </c:strRef>
          </c:cat>
          <c:val>
            <c:numRef>
              <c:f>'06_Dashboard_Plan'!$R$19:$R$26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b6d4f0b4f54455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15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2d2e47311c407c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8</xdr:col>
      <xdr:colOff>0</xdr:colOff>
      <xdr:row>50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25c46c16704d7a"/>
        </a:graphicData>
      </a:graphic>
    </xdr:graphicFrame>
    <xdr:clientData/>
  </xdr:twoCellAnchor>
  <xdr:twoCellAnchor>
    <xdr:from>
      <xdr:col>8</xdr:col>
      <xdr:colOff>0</xdr:colOff>
      <xdr:row>34</xdr:row>
      <xdr:rowOff>0</xdr:rowOff>
    </xdr:from>
    <xdr:to>
      <xdr:col>15</xdr:col>
      <xdr:colOff>0</xdr:colOff>
      <xdr:row>50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e573125e624e4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PUPlanTable" displayName="APUPlanTable" ref="A6:O14" headerRowCount="1">
  <x:tableColumns count="15">
    <x:tableColumn id="1" name="ID"/>
    <x:tableColumn id="2" name="Categoría"/>
    <x:tableColumn id="3" name="Recurso"/>
    <x:tableColumn id="4" name="Unidad costo"/>
    <x:tableColumn id="5" name="n / coeficiente"/>
    <x:tableColumn id="6" name="Precio unitario"/>
    <x:tableColumn id="7" name="Ciclo h/u"/>
    <x:tableColumn id="8" name="Desperdicio %"/>
    <x:tableColumn id="9" name="Intensidad / consumo unitario"/>
    <x:tableColumn id="10" name="Unidad intensidad"/>
    <x:tableColumn id="11" name="Costo exacto/u"/>
    <x:tableColumn id="12" name="Costo redondeado/u"/>
    <x:tableColumn id="13" name="Capacidad de flujo u/h"/>
    <x:tableColumn id="14" name="Productividad u/RH"/>
    <x:tableColumn id="15" name="Observación"/>
  </x:tableColumns>
  <x:tableStyleInfo name="TableStyleMedium2" showRowStripes="1"/>
</x:table>
</file>

<file path=xl/tables/table2.xml><?xml version="1.0" encoding="utf-8"?>
<x:table xmlns:x="http://schemas.openxmlformats.org/spreadsheetml/2006/main" id="2" name="EscenariosPlanTable" displayName="EscenariosPlanTable" ref="A7:K14" headerRowCount="1">
  <x:tableColumns count="11">
    <x:tableColumn id="1" name="Escenario"/>
    <x:tableColumn id="2" name="Fp"/>
    <x:tableColumn id="3" name="Producción m²/h"/>
    <x:tableColumn id="4" name="Producción m²/día"/>
    <x:tableColumn id="5" name="Duración h"/>
    <x:tableColumn id="6" name="Duración días"/>
    <x:tableColumn id="7" name="Trabajo MO HH"/>
    <x:tableColumn id="8" name="Consumo equipos EH"/>
    <x:tableColumn id="9" name="Costo directo/u"/>
    <x:tableColumn id="10" name="Precio unitario"/>
    <x:tableColumn id="11" name="Total planificado"/>
  </x:tableColumns>
  <x:tableStyleInfo name="TableStyleMedium2" showRowStripes="1"/>
</x:table>
</file>

<file path=xl/tables/table3.xml><?xml version="1.0" encoding="utf-8"?>
<x:table xmlns:x="http://schemas.openxmlformats.org/spreadsheetml/2006/main" id="3" name="ProgramaRecursosTable" displayName="ProgramaRecursosTable" ref="A6:M14" headerRowCount="1">
  <x:tableColumns count="13">
    <x:tableColumn id="1" name="ID"/>
    <x:tableColumn id="2" name="Categoría"/>
    <x:tableColumn id="3" name="Recurso"/>
    <x:tableColumn id="4" name="Unidad recurso"/>
    <x:tableColumn id="5" name="n / coef."/>
    <x:tableColumn id="6" name="Inicio día"/>
    <x:tableColumn id="7" name="Fin día"/>
    <x:tableColumn id="8" name="Consumo neto"/>
    <x:tableColumn id="9" name="Consumo planificado"/>
    <x:tableColumn id="10" name="Precio unitario"/>
    <x:tableColumn id="11" name="Costo planificado"/>
    <x:tableColumn id="12" name="Carga / uso"/>
    <x:tableColumn id="13" name="Base de cálculo"/>
  </x:tableColumns>
  <x:tableStyleInfo name="TableStyleMedium2" showRowStripes="1"/>
</x:table>
</file>

<file path=xl/tables/table4.xml><?xml version="1.0" encoding="utf-8"?>
<x:table xmlns:x="http://schemas.openxmlformats.org/spreadsheetml/2006/main" id="4" name="DiccionarioPlanTable" displayName="DiccionarioPlanTable" ref="A5:G19" headerRowCount="1">
  <x:tableColumns count="7">
    <x:tableColumn id="1" name="Grupo"/>
    <x:tableColumn id="2" name="Variable / indicador"/>
    <x:tableColumn id="3" name="Fórmula conceptual"/>
    <x:tableColumn id="4" name="Unidad"/>
    <x:tableColumn id="5" name="Uso en planificación"/>
    <x:tableColumn id="6" name="Regla de lectura"/>
    <x:tableColumn id="7" name="Hoj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9e5a65ce6ae4d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8e308ff95a944c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3f57988945bd46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82f4f7a5c12540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d1fdd096afd54f6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9" max="9" width="18" hidden="0" customWidth="1"/>
    <x:col min="10" max="10" width="42" hidden="0" customWidth="1"/>
  </x:cols>
  <x:sheetData>
    <x:row r="1" ht="34" customHeight="1">
      <x:c r="A1" s="5" t="str">
        <x:v>MODELO APU · PLANIFICACIÓN DE ACTIVIDADES DE CONSTRUCCIÓN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  <x:c r="N1" s="352"/>
      <x:c r="O1" s="352"/>
      <x:c r="P1" s="352"/>
      <x:c r="Q1" s="352"/>
      <x:c r="R1" s="352"/>
      <x:c r="S1" s="352"/>
    </x:row>
    <x:row r="2">
      <x:c r="A2" s="352"/>
      <x:c r="B2" s="352"/>
      <x:c r="C2" s="352"/>
      <x:c r="D2" s="352"/>
      <x:c r="E2" s="352"/>
      <x:c r="F2" s="352"/>
      <x:c r="G2" s="352"/>
      <x:c r="H2" s="352"/>
      <x:c r="I2" s="352"/>
      <x:c r="J2" s="352"/>
      <x:c r="K2" s="352"/>
      <x:c r="L2" s="352"/>
      <x:c r="M2" s="352"/>
      <x:c r="N2" s="352"/>
      <x:c r="O2" s="352"/>
      <x:c r="P2" s="352"/>
      <x:c r="Q2" s="352"/>
      <x:c r="R2" s="352"/>
      <x:c r="S2" s="352"/>
    </x:row>
    <x:row r="3">
      <x:c r="A3" s="352"/>
      <x:c r="B3" s="352"/>
      <x:c r="C3" s="352"/>
      <x:c r="D3" s="352"/>
      <x:c r="E3" s="352"/>
      <x:c r="F3" s="352"/>
      <x:c r="G3" s="352"/>
      <x:c r="H3" s="352"/>
      <x:c r="I3" s="352"/>
      <x:c r="J3" s="352"/>
      <x:c r="K3" s="352"/>
      <x:c r="L3" s="352"/>
      <x:c r="M3" s="352"/>
      <x:c r="N3" s="352"/>
      <x:c r="O3" s="352"/>
      <x:c r="P3" s="352"/>
      <x:c r="Q3" s="352"/>
      <x:c r="R3" s="352"/>
      <x:c r="S3" s="352"/>
    </x:row>
    <x:row r="4" ht="44" customHeight="1">
      <x:c r="A4" s="13" t="str">
        <x:v>Alcance exclusivo de planificación: transforma el APU en capacidad, producción, duración, trabajo, consumos, costos planificados, programación de recursos y análisis de escenarios. No contiene avance real, control, seguimiento, valor ganado ni pronósticos de ejecución.</x:v>
      </x:c>
      <x:c r="B4" s="352"/>
      <x:c r="C4" s="352"/>
      <x:c r="D4" s="352"/>
      <x:c r="E4" s="352"/>
      <x:c r="F4" s="352"/>
      <x:c r="G4" s="352"/>
      <x:c r="H4" s="352"/>
      <x:c r="I4" s="352"/>
      <x:c r="J4" s="352"/>
      <x:c r="K4" s="352"/>
      <x:c r="L4" s="352"/>
      <x:c r="M4" s="352"/>
      <x:c r="N4" s="352"/>
      <x:c r="O4" s="352"/>
      <x:c r="P4" s="352"/>
      <x:c r="Q4" s="352"/>
      <x:c r="R4" s="352"/>
      <x:c r="S4" s="352"/>
    </x:row>
    <x:row r="5">
      <x:c r="A5" s="352"/>
      <x:c r="B5" s="352"/>
      <x:c r="C5" s="352"/>
      <x:c r="D5" s="352"/>
      <x:c r="E5" s="352"/>
      <x:c r="F5" s="352"/>
      <x:c r="G5" s="352"/>
      <x:c r="H5" s="352"/>
      <x:c r="I5" s="352"/>
      <x:c r="J5" s="352"/>
      <x:c r="K5" s="352"/>
      <x:c r="L5" s="352"/>
      <x:c r="M5" s="352"/>
      <x:c r="N5" s="352"/>
      <x:c r="O5" s="352"/>
      <x:c r="P5" s="352"/>
      <x:c r="Q5" s="352"/>
      <x:c r="R5" s="352"/>
      <x:c r="S5" s="352"/>
    </x:row>
    <x:row r="6">
      <x:c r="A6" s="352"/>
      <x:c r="B6" s="352"/>
      <x:c r="C6" s="352"/>
      <x:c r="D6" s="352"/>
      <x:c r="E6" s="352"/>
      <x:c r="F6" s="352"/>
      <x:c r="G6" s="352"/>
      <x:c r="H6" s="352"/>
      <x:c r="I6" s="352"/>
      <x:c r="J6" s="352"/>
      <x:c r="K6" s="352"/>
      <x:c r="L6" s="352"/>
      <x:c r="M6" s="352"/>
      <x:c r="N6" s="352"/>
      <x:c r="O6" s="352"/>
      <x:c r="P6" s="352"/>
      <x:c r="Q6" s="352"/>
      <x:c r="R6" s="352"/>
      <x:c r="S6" s="352"/>
    </x:row>
    <x:row r="7" ht="22" customHeight="1">
      <x:c r="A7" s="21" t="str">
        <x:v>SECUENCIA DE PLANIFICACIÓN</x:v>
      </x:c>
      <x:c r="B7" s="352"/>
      <x:c r="C7" s="352"/>
      <x:c r="D7" s="352"/>
      <x:c r="E7" s="352"/>
      <x:c r="F7" s="352"/>
      <x:c r="G7" s="352"/>
      <x:c r="H7" s="352"/>
      <x:c r="I7" s="39" t="str">
        <x:v>REGLAS METODOLÓGICAS CLAVE</x:v>
      </x:c>
      <x:c r="J7" s="352"/>
      <x:c r="K7" s="352"/>
      <x:c r="L7" s="352"/>
      <x:c r="M7" s="352"/>
      <x:c r="N7" s="352"/>
      <x:c r="O7" s="352"/>
      <x:c r="P7" s="352"/>
      <x:c r="Q7" s="352"/>
      <x:c r="R7" s="352"/>
      <x:c r="S7" s="352"/>
    </x:row>
    <x:row r="8" ht="31" customHeight="1">
      <x:c r="A8" s="353" t="str">
        <x:v>1</x:v>
      </x:c>
      <x:c r="B8" s="354" t="str">
        <x:v>Defina actividad, unidad, cantidad, jornada y factor de planificación.</x:v>
      </x:c>
      <x:c r="C8" s="352"/>
      <x:c r="D8" s="352"/>
      <x:c r="E8" s="352"/>
      <x:c r="F8" s="352"/>
      <x:c r="G8" s="352"/>
      <x:c r="H8" s="352"/>
      <x:c r="I8" s="355" t="str">
        <x:v>Ciclo</x:v>
      </x:c>
      <x:c r="J8" s="354" t="str">
        <x:v>h/u del recurso; mayor ciclo operativo gobierna el flujo.</x:v>
      </x:c>
      <x:c r="K8" s="352"/>
      <x:c r="L8" s="352"/>
      <x:c r="M8" s="352"/>
      <x:c r="N8" s="352"/>
      <x:c r="O8" s="352"/>
      <x:c r="P8" s="352"/>
      <x:c r="Q8" s="352"/>
      <x:c r="R8" s="352"/>
      <x:c r="S8" s="352"/>
    </x:row>
    <x:row r="9" ht="31" customHeight="1">
      <x:c r="A9" s="353" t="str">
        <x:v>2</x:v>
      </x:c>
      <x:c r="B9" s="354" t="str">
        <x:v>Normalice el APU: cantidades simultáneas, ciclos, consumos, precios y desperdicios.</x:v>
      </x:c>
      <x:c r="C9" s="352"/>
      <x:c r="D9" s="352"/>
      <x:c r="E9" s="352"/>
      <x:c r="F9" s="352"/>
      <x:c r="G9" s="352"/>
      <x:c r="H9" s="352"/>
      <x:c r="I9" s="355" t="str">
        <x:v>Intensidad</x:v>
      </x:c>
      <x:c r="J9" s="354" t="str">
        <x:v>n × ciclo para mano de obra y equipos; coeficiente × (1+desperdicio) para materiales.</x:v>
      </x:c>
      <x:c r="K9" s="352"/>
      <x:c r="L9" s="352"/>
      <x:c r="M9" s="352"/>
      <x:c r="N9" s="352"/>
      <x:c r="O9" s="352"/>
      <x:c r="P9" s="352"/>
      <x:c r="Q9" s="352"/>
      <x:c r="R9" s="352"/>
      <x:c r="S9" s="352"/>
    </x:row>
    <x:row r="10" ht="31" customHeight="1">
      <x:c r="A10" s="353" t="str">
        <x:v>3</x:v>
      </x:c>
      <x:c r="B10" s="354" t="str">
        <x:v>Identifique el ciclo gobernante y calcule producción teórica y planificada.</x:v>
      </x:c>
      <x:c r="C10" s="352"/>
      <x:c r="D10" s="352"/>
      <x:c r="E10" s="352"/>
      <x:c r="F10" s="352"/>
      <x:c r="G10" s="352"/>
      <x:c r="H10" s="352"/>
      <x:c r="I10" s="355" t="str">
        <x:v>Producción</x:v>
      </x:c>
      <x:c r="J10" s="354" t="str">
        <x:v>1/ciclo gobernante; luego se ajusta por el factor de planificación.</x:v>
      </x:c>
      <x:c r="K10" s="352"/>
      <x:c r="L10" s="352"/>
      <x:c r="M10" s="352"/>
      <x:c r="N10" s="352"/>
      <x:c r="O10" s="352"/>
      <x:c r="P10" s="352"/>
      <x:c r="Q10" s="352"/>
      <x:c r="R10" s="352"/>
      <x:c r="S10" s="352"/>
    </x:row>
    <x:row r="11" ht="31" customHeight="1">
      <x:c r="A11" s="353" t="str">
        <x:v>4</x:v>
      </x:c>
      <x:c r="B11" s="354" t="str">
        <x:v>Calcule duración, trabajo de mano de obra y consumo de equipos y materiales.</x:v>
      </x:c>
      <x:c r="C11" s="352"/>
      <x:c r="D11" s="352"/>
      <x:c r="E11" s="352"/>
      <x:c r="F11" s="352"/>
      <x:c r="G11" s="352"/>
      <x:c r="H11" s="352"/>
      <x:c r="I11" s="355" t="str">
        <x:v>Trabajo</x:v>
      </x:c>
      <x:c r="J11" s="354" t="str">
        <x:v>cantidad de obra × intensidad laboral.</x:v>
      </x:c>
      <x:c r="K11" s="352"/>
      <x:c r="L11" s="352"/>
      <x:c r="M11" s="352"/>
      <x:c r="N11" s="352"/>
      <x:c r="O11" s="352"/>
      <x:c r="P11" s="352"/>
      <x:c r="Q11" s="352"/>
      <x:c r="R11" s="352"/>
      <x:c r="S11" s="352"/>
    </x:row>
    <x:row r="12" ht="31" customHeight="1">
      <x:c r="A12" s="353" t="str">
        <x:v>5</x:v>
      </x:c>
      <x:c r="B12" s="354" t="str">
        <x:v>Obtenga costos netos del APU y costos planificados ajustados por eficiencia.</x:v>
      </x:c>
      <x:c r="C12" s="352"/>
      <x:c r="D12" s="352"/>
      <x:c r="E12" s="352"/>
      <x:c r="F12" s="352"/>
      <x:c r="G12" s="352"/>
      <x:c r="H12" s="352"/>
      <x:c r="I12" s="355" t="str">
        <x:v>Consumo</x:v>
      </x:c>
      <x:c r="J12" s="354" t="str">
        <x:v>cantidad de obra × intensidad de cada recurso.</x:v>
      </x:c>
      <x:c r="K12" s="352"/>
      <x:c r="L12" s="352"/>
      <x:c r="M12" s="352"/>
      <x:c r="N12" s="352"/>
      <x:c r="O12" s="352"/>
      <x:c r="P12" s="352"/>
      <x:c r="Q12" s="352"/>
      <x:c r="R12" s="352"/>
      <x:c r="S12" s="352"/>
    </x:row>
    <x:row r="13" ht="31" customHeight="1">
      <x:c r="A13" s="353" t="str">
        <x:v>6</x:v>
      </x:c>
      <x:c r="B13" s="354" t="str">
        <x:v>Revise escenarios y seleccione la línea base de planificación.</x:v>
      </x:c>
      <x:c r="C13" s="352"/>
      <x:c r="D13" s="352"/>
      <x:c r="E13" s="352"/>
      <x:c r="F13" s="352"/>
      <x:c r="G13" s="352"/>
      <x:c r="H13" s="352"/>
      <x:c r="I13" s="355" t="str">
        <x:v>Costo plan</x:v>
      </x:c>
      <x:c r="J13" s="354" t="str">
        <x:v>materiales sin ajuste; recursos dependientes del tiempo divididos por el factor.</x:v>
      </x:c>
      <x:c r="K13" s="352"/>
      <x:c r="L13" s="352"/>
      <x:c r="M13" s="352"/>
      <x:c r="N13" s="352"/>
      <x:c r="O13" s="352"/>
      <x:c r="P13" s="352"/>
      <x:c r="Q13" s="352"/>
      <x:c r="R13" s="352"/>
      <x:c r="S13" s="352"/>
    </x:row>
    <x:row r="14" ht="31" customHeight="1">
      <x:c r="A14" s="353" t="str">
        <x:v>7</x:v>
      </x:c>
      <x:c r="B14" s="354" t="str">
        <x:v>Emita programa de recursos y resumen ejecutivo de la actividad.</x:v>
      </x:c>
      <x:c r="C14" s="352"/>
      <x:c r="D14" s="352"/>
      <x:c r="E14" s="352"/>
      <x:c r="F14" s="352"/>
      <x:c r="G14" s="352"/>
      <x:c r="H14" s="352"/>
      <x:c r="I14" s="355" t="str">
        <x:v>Redondeo</x:v>
      </x:c>
      <x:c r="J14" s="354" t="str">
        <x:v>calcular con precisión completa y redondear solo para presentación.</x:v>
      </x:c>
      <x:c r="K14" s="352"/>
      <x:c r="L14" s="352"/>
      <x:c r="M14" s="352"/>
      <x:c r="N14" s="352"/>
      <x:c r="O14" s="352"/>
      <x:c r="P14" s="352"/>
      <x:c r="Q14" s="352"/>
      <x:c r="R14" s="352"/>
      <x:c r="S14" s="352"/>
    </x:row>
    <x:row r="15">
      <x:c r="A15" s="352"/>
      <x:c r="B15" s="352"/>
      <x:c r="C15" s="352"/>
      <x:c r="D15" s="352"/>
      <x:c r="E15" s="352"/>
      <x:c r="F15" s="352"/>
      <x:c r="G15" s="352"/>
      <x:c r="H15" s="352"/>
      <x:c r="I15" s="352"/>
      <x:c r="J15" s="352"/>
      <x:c r="K15" s="352"/>
      <x:c r="L15" s="352"/>
      <x:c r="M15" s="352"/>
      <x:c r="N15" s="352"/>
      <x:c r="O15" s="352"/>
      <x:c r="P15" s="352"/>
      <x:c r="Q15" s="352"/>
      <x:c r="R15" s="352"/>
      <x:c r="S15" s="352"/>
    </x:row>
    <x:row r="16">
      <x:c r="A16" s="352"/>
      <x:c r="B16" s="352"/>
      <x:c r="C16" s="352"/>
      <x:c r="D16" s="352"/>
      <x:c r="E16" s="352"/>
      <x:c r="F16" s="352"/>
      <x:c r="G16" s="352"/>
      <x:c r="H16" s="352"/>
      <x:c r="I16" s="352"/>
      <x:c r="J16" s="352"/>
      <x:c r="K16" s="352"/>
      <x:c r="L16" s="352"/>
      <x:c r="M16" s="352"/>
      <x:c r="N16" s="352"/>
      <x:c r="O16" s="352"/>
      <x:c r="P16" s="352"/>
      <x:c r="Q16" s="352"/>
      <x:c r="R16" s="352"/>
      <x:c r="S16" s="352"/>
    </x:row>
    <x:row r="17" ht="22" customHeight="1">
      <x:c r="A17" s="21" t="str">
        <x:v>CONVENCIONES DEL LIBRO</x:v>
      </x:c>
      <x:c r="B17" s="352"/>
      <x:c r="C17" s="352"/>
      <x:c r="D17" s="352"/>
      <x:c r="E17" s="352"/>
      <x:c r="F17" s="352"/>
      <x:c r="G17" s="352"/>
      <x:c r="H17" s="352"/>
      <x:c r="I17" s="352"/>
      <x:c r="J17" s="352"/>
      <x:c r="K17" s="352"/>
      <x:c r="L17" s="352"/>
      <x:c r="M17" s="352"/>
      <x:c r="N17" s="352"/>
      <x:c r="O17" s="352"/>
      <x:c r="P17" s="352"/>
      <x:c r="Q17" s="352"/>
      <x:c r="R17" s="352"/>
      <x:c r="S17" s="352"/>
    </x:row>
    <x:row r="18">
      <x:c r="A18" s="356" t="str">
        <x:v>Amarillo</x:v>
      </x:c>
      <x:c r="B18" s="357" t="str">
        <x:v>Dato editable / supuesto de planificación</x:v>
      </x:c>
      <x:c r="C18" s="352"/>
      <x:c r="D18" s="352"/>
      <x:c r="E18" s="352"/>
      <x:c r="F18" s="352"/>
      <x:c r="G18" s="352"/>
      <x:c r="H18" s="352"/>
      <x:c r="I18" s="352"/>
      <x:c r="J18" s="352"/>
      <x:c r="K18" s="352"/>
      <x:c r="L18" s="352"/>
      <x:c r="M18" s="352"/>
      <x:c r="N18" s="352"/>
      <x:c r="O18" s="352"/>
      <x:c r="P18" s="352"/>
      <x:c r="Q18" s="352"/>
      <x:c r="R18" s="352"/>
      <x:c r="S18" s="352"/>
    </x:row>
    <x:row r="19">
      <x:c r="A19" s="358" t="str">
        <x:v>Azul</x:v>
      </x:c>
      <x:c r="B19" s="357" t="str">
        <x:v>Fórmula o resultado calculado</x:v>
      </x:c>
      <x:c r="C19" s="352"/>
      <x:c r="D19" s="352"/>
      <x:c r="E19" s="352"/>
      <x:c r="F19" s="352"/>
      <x:c r="G19" s="352"/>
      <x:c r="H19" s="352"/>
      <x:c r="I19" s="352"/>
      <x:c r="J19" s="352"/>
      <x:c r="K19" s="352"/>
      <x:c r="L19" s="352"/>
      <x:c r="M19" s="352"/>
      <x:c r="N19" s="352"/>
      <x:c r="O19" s="352"/>
      <x:c r="P19" s="352"/>
      <x:c r="Q19" s="352"/>
      <x:c r="R19" s="352"/>
      <x:c r="S19" s="352"/>
    </x:row>
    <x:row r="20">
      <x:c r="A20" s="359" t="str">
        <x:v>Verde</x:v>
      </x:c>
      <x:c r="B20" s="357" t="str">
        <x:v>Validación satisfactoria</x:v>
      </x:c>
      <x:c r="C20" s="352"/>
      <x:c r="D20" s="352"/>
      <x:c r="E20" s="352"/>
      <x:c r="F20" s="352"/>
      <x:c r="G20" s="352"/>
      <x:c r="H20" s="352"/>
      <x:c r="I20" s="352"/>
      <x:c r="J20" s="352"/>
      <x:c r="K20" s="352"/>
      <x:c r="L20" s="352"/>
      <x:c r="M20" s="352"/>
      <x:c r="N20" s="352"/>
      <x:c r="O20" s="352"/>
      <x:c r="P20" s="352"/>
      <x:c r="Q20" s="352"/>
      <x:c r="R20" s="352"/>
      <x:c r="S20" s="352"/>
    </x:row>
    <x:row r="21">
      <x:c r="A21" s="360" t="str">
        <x:v>Naranja</x:v>
      </x:c>
      <x:c r="B21" s="357" t="str">
        <x:v>Supuesto sensible que requiere aprobación</x:v>
      </x:c>
      <x:c r="C21" s="352"/>
      <x:c r="D21" s="352"/>
      <x:c r="E21" s="352"/>
      <x:c r="F21" s="352"/>
      <x:c r="G21" s="352"/>
      <x:c r="H21" s="352"/>
      <x:c r="I21" s="352"/>
      <x:c r="J21" s="352"/>
      <x:c r="K21" s="352"/>
      <x:c r="L21" s="352"/>
      <x:c r="M21" s="352"/>
      <x:c r="N21" s="352"/>
      <x:c r="O21" s="352"/>
      <x:c r="P21" s="352"/>
      <x:c r="Q21" s="352"/>
      <x:c r="R21" s="352"/>
      <x:c r="S21" s="352"/>
    </x:row>
    <x:row r="22">
      <x:c r="A22" s="352"/>
      <x:c r="B22" s="352"/>
      <x:c r="C22" s="352"/>
      <x:c r="D22" s="352"/>
      <x:c r="E22" s="352"/>
      <x:c r="F22" s="352"/>
      <x:c r="G22" s="352"/>
      <x:c r="H22" s="352"/>
      <x:c r="I22" s="352"/>
      <x:c r="J22" s="352"/>
      <x:c r="K22" s="352"/>
      <x:c r="L22" s="352"/>
      <x:c r="M22" s="352"/>
      <x:c r="N22" s="352"/>
      <x:c r="O22" s="352"/>
      <x:c r="P22" s="352"/>
      <x:c r="Q22" s="352"/>
      <x:c r="R22" s="352"/>
      <x:c r="S22" s="352"/>
    </x:row>
    <x:row r="23">
      <x:c r="A23" s="352"/>
      <x:c r="B23" s="352"/>
      <x:c r="C23" s="352"/>
      <x:c r="D23" s="352"/>
      <x:c r="E23" s="352"/>
      <x:c r="F23" s="352"/>
      <x:c r="G23" s="352"/>
      <x:c r="H23" s="352"/>
      <x:c r="I23" s="352"/>
      <x:c r="J23" s="352"/>
      <x:c r="K23" s="352"/>
      <x:c r="L23" s="352"/>
      <x:c r="M23" s="352"/>
      <x:c r="N23" s="352"/>
      <x:c r="O23" s="352"/>
      <x:c r="P23" s="352"/>
      <x:c r="Q23" s="352"/>
      <x:c r="R23" s="352"/>
      <x:c r="S23" s="352"/>
    </x:row>
    <x:row r="24">
      <x:c r="A24" s="352"/>
      <x:c r="B24" s="352"/>
      <x:c r="C24" s="352"/>
      <x:c r="D24" s="352"/>
      <x:c r="E24" s="352"/>
      <x:c r="F24" s="352"/>
      <x:c r="G24" s="352"/>
      <x:c r="H24" s="352"/>
      <x:c r="I24" s="352"/>
      <x:c r="J24" s="352"/>
      <x:c r="K24" s="352"/>
      <x:c r="L24" s="352"/>
      <x:c r="M24" s="352"/>
      <x:c r="N24" s="352"/>
      <x:c r="O24" s="352"/>
      <x:c r="P24" s="352"/>
      <x:c r="Q24" s="352"/>
      <x:c r="R24" s="352"/>
      <x:c r="S24" s="352"/>
    </x:row>
    <x:row r="25">
      <x:c r="A25" s="352"/>
      <x:c r="B25" s="352"/>
      <x:c r="C25" s="352"/>
      <x:c r="D25" s="352"/>
      <x:c r="E25" s="352"/>
      <x:c r="F25" s="352"/>
      <x:c r="G25" s="352"/>
      <x:c r="H25" s="352"/>
      <x:c r="I25" s="352"/>
      <x:c r="J25" s="352"/>
      <x:c r="K25" s="352"/>
      <x:c r="L25" s="352"/>
      <x:c r="M25" s="352"/>
      <x:c r="N25" s="352"/>
      <x:c r="O25" s="352"/>
      <x:c r="P25" s="352"/>
      <x:c r="Q25" s="352"/>
      <x:c r="R25" s="352"/>
      <x:c r="S25" s="352"/>
    </x:row>
    <x:row r="26">
      <x:c r="A26" s="352"/>
      <x:c r="B26" s="352"/>
      <x:c r="C26" s="352"/>
      <x:c r="D26" s="352"/>
      <x:c r="E26" s="352"/>
      <x:c r="F26" s="352"/>
      <x:c r="G26" s="352"/>
      <x:c r="H26" s="352"/>
      <x:c r="I26" s="352"/>
      <x:c r="J26" s="352"/>
      <x:c r="K26" s="352"/>
      <x:c r="L26" s="352"/>
      <x:c r="M26" s="352"/>
      <x:c r="N26" s="352"/>
      <x:c r="O26" s="352"/>
      <x:c r="P26" s="352"/>
      <x:c r="Q26" s="352"/>
      <x:c r="R26" s="352"/>
      <x:c r="S26" s="352"/>
    </x:row>
    <x:row r="27">
      <x:c r="A27" s="352"/>
      <x:c r="B27" s="352"/>
      <x:c r="C27" s="352"/>
      <x:c r="D27" s="352"/>
      <x:c r="E27" s="352"/>
      <x:c r="F27" s="352"/>
      <x:c r="G27" s="352"/>
      <x:c r="H27" s="352"/>
      <x:c r="I27" s="352"/>
      <x:c r="J27" s="352"/>
      <x:c r="K27" s="352"/>
      <x:c r="L27" s="352"/>
      <x:c r="M27" s="352"/>
      <x:c r="N27" s="352"/>
      <x:c r="O27" s="352"/>
      <x:c r="P27" s="352"/>
      <x:c r="Q27" s="352"/>
      <x:c r="R27" s="352"/>
      <x:c r="S27" s="352"/>
    </x:row>
    <x:row r="28">
      <x:c r="A28" s="352"/>
      <x:c r="B28" s="352"/>
      <x:c r="C28" s="352"/>
      <x:c r="D28" s="352"/>
      <x:c r="E28" s="352"/>
      <x:c r="F28" s="352"/>
      <x:c r="G28" s="352"/>
      <x:c r="H28" s="352"/>
      <x:c r="I28" s="352"/>
      <x:c r="J28" s="352"/>
      <x:c r="K28" s="352"/>
      <x:c r="L28" s="352"/>
      <x:c r="M28" s="352"/>
      <x:c r="N28" s="352"/>
      <x:c r="O28" s="352"/>
      <x:c r="P28" s="352"/>
      <x:c r="Q28" s="352"/>
      <x:c r="R28" s="352"/>
      <x:c r="S28" s="352"/>
    </x:row>
    <x:row r="29">
      <x:c r="A29" s="352"/>
      <x:c r="B29" s="352"/>
      <x:c r="C29" s="352"/>
      <x:c r="D29" s="352"/>
      <x:c r="E29" s="352"/>
      <x:c r="F29" s="352"/>
      <x:c r="G29" s="352"/>
      <x:c r="H29" s="352"/>
      <x:c r="I29" s="352"/>
      <x:c r="J29" s="352"/>
      <x:c r="K29" s="352"/>
      <x:c r="L29" s="352"/>
      <x:c r="M29" s="352"/>
      <x:c r="N29" s="352"/>
      <x:c r="O29" s="352"/>
      <x:c r="P29" s="352"/>
      <x:c r="Q29" s="352"/>
      <x:c r="R29" s="352"/>
      <x:c r="S29" s="352"/>
    </x:row>
    <x:row r="30">
      <x:c r="A30" s="352"/>
      <x:c r="B30" s="352"/>
      <x:c r="C30" s="352"/>
      <x:c r="D30" s="352"/>
      <x:c r="E30" s="352"/>
      <x:c r="F30" s="352"/>
      <x:c r="G30" s="352"/>
      <x:c r="H30" s="352"/>
      <x:c r="I30" s="352"/>
      <x:c r="J30" s="352"/>
      <x:c r="K30" s="352"/>
      <x:c r="L30" s="352"/>
      <x:c r="M30" s="352"/>
      <x:c r="N30" s="352"/>
      <x:c r="O30" s="352"/>
      <x:c r="P30" s="352"/>
      <x:c r="Q30" s="352"/>
      <x:c r="R30" s="352"/>
      <x:c r="S30" s="352"/>
    </x:row>
    <x:row r="31">
      <x:c r="A31" s="352"/>
      <x:c r="B31" s="352"/>
      <x:c r="C31" s="352"/>
      <x:c r="D31" s="352"/>
      <x:c r="E31" s="352"/>
      <x:c r="F31" s="352"/>
      <x:c r="G31" s="352"/>
      <x:c r="H31" s="352"/>
      <x:c r="I31" s="352"/>
      <x:c r="J31" s="352"/>
      <x:c r="K31" s="352"/>
      <x:c r="L31" s="352"/>
      <x:c r="M31" s="352"/>
      <x:c r="N31" s="352"/>
      <x:c r="O31" s="352"/>
      <x:c r="P31" s="352"/>
      <x:c r="Q31" s="352"/>
      <x:c r="R31" s="352"/>
      <x:c r="S31" s="352"/>
    </x:row>
    <x:row r="32">
      <x:c r="A32" s="352"/>
      <x:c r="B32" s="352"/>
      <x:c r="C32" s="352"/>
      <x:c r="D32" s="352"/>
      <x:c r="E32" s="352"/>
      <x:c r="F32" s="352"/>
      <x:c r="G32" s="352"/>
      <x:c r="H32" s="352"/>
      <x:c r="I32" s="352"/>
      <x:c r="J32" s="352"/>
      <x:c r="K32" s="352"/>
      <x:c r="L32" s="352"/>
      <x:c r="M32" s="352"/>
      <x:c r="N32" s="352"/>
      <x:c r="O32" s="352"/>
      <x:c r="P32" s="352"/>
      <x:c r="Q32" s="352"/>
      <x:c r="R32" s="352"/>
      <x:c r="S32" s="352"/>
    </x:row>
    <x:row r="33">
      <x:c r="A33" s="352"/>
      <x:c r="B33" s="352"/>
      <x:c r="C33" s="352"/>
      <x:c r="D33" s="352"/>
      <x:c r="E33" s="352"/>
      <x:c r="F33" s="352"/>
      <x:c r="G33" s="352"/>
      <x:c r="H33" s="352"/>
      <x:c r="I33" s="352"/>
      <x:c r="J33" s="352"/>
      <x:c r="K33" s="352"/>
      <x:c r="L33" s="352"/>
      <x:c r="M33" s="352"/>
      <x:c r="N33" s="352"/>
      <x:c r="O33" s="352"/>
      <x:c r="P33" s="352"/>
      <x:c r="Q33" s="352"/>
      <x:c r="R33" s="352"/>
      <x:c r="S33" s="352"/>
    </x:row>
    <x:row r="34">
      <x:c r="A34" s="352"/>
      <x:c r="B34" s="352"/>
      <x:c r="C34" s="352"/>
      <x:c r="D34" s="352"/>
      <x:c r="E34" s="352"/>
      <x:c r="F34" s="352"/>
      <x:c r="G34" s="352"/>
      <x:c r="H34" s="352"/>
      <x:c r="I34" s="352"/>
      <x:c r="J34" s="352"/>
      <x:c r="K34" s="352"/>
      <x:c r="L34" s="352"/>
      <x:c r="M34" s="352"/>
      <x:c r="N34" s="352"/>
      <x:c r="O34" s="352"/>
      <x:c r="P34" s="352"/>
      <x:c r="Q34" s="352"/>
      <x:c r="R34" s="352"/>
      <x:c r="S34" s="352"/>
    </x:row>
    <x:row r="35">
      <x:c r="A35" s="352"/>
      <x:c r="B35" s="352"/>
      <x:c r="C35" s="352"/>
      <x:c r="D35" s="352"/>
      <x:c r="E35" s="352"/>
      <x:c r="F35" s="352"/>
      <x:c r="G35" s="352"/>
      <x:c r="H35" s="352"/>
      <x:c r="I35" s="352"/>
      <x:c r="J35" s="352"/>
      <x:c r="K35" s="352"/>
      <x:c r="L35" s="352"/>
      <x:c r="M35" s="352"/>
      <x:c r="N35" s="352"/>
      <x:c r="O35" s="352"/>
      <x:c r="P35" s="352"/>
      <x:c r="Q35" s="352"/>
      <x:c r="R35" s="352"/>
      <x:c r="S35" s="352"/>
    </x:row>
    <x:row r="36">
      <x:c r="A36" s="352"/>
      <x:c r="B36" s="352"/>
      <x:c r="C36" s="352"/>
      <x:c r="D36" s="352"/>
      <x:c r="E36" s="352"/>
      <x:c r="F36" s="352"/>
      <x:c r="G36" s="352"/>
      <x:c r="H36" s="352"/>
      <x:c r="I36" s="352"/>
      <x:c r="J36" s="352"/>
      <x:c r="K36" s="352"/>
      <x:c r="L36" s="352"/>
      <x:c r="M36" s="352"/>
      <x:c r="N36" s="352"/>
      <x:c r="O36" s="352"/>
      <x:c r="P36" s="352"/>
      <x:c r="Q36" s="352"/>
      <x:c r="R36" s="352"/>
      <x:c r="S36" s="352"/>
    </x:row>
    <x:row r="37">
      <x:c r="A37" s="352"/>
      <x:c r="B37" s="352"/>
      <x:c r="C37" s="352"/>
      <x:c r="D37" s="352"/>
      <x:c r="E37" s="352"/>
      <x:c r="F37" s="352"/>
      <x:c r="G37" s="352"/>
      <x:c r="H37" s="352"/>
      <x:c r="I37" s="352"/>
      <x:c r="J37" s="352"/>
      <x:c r="K37" s="352"/>
      <x:c r="L37" s="352"/>
      <x:c r="M37" s="352"/>
      <x:c r="N37" s="352"/>
      <x:c r="O37" s="352"/>
      <x:c r="P37" s="352"/>
      <x:c r="Q37" s="352"/>
      <x:c r="R37" s="352"/>
      <x:c r="S37" s="352"/>
    </x:row>
    <x:row r="38">
      <x:c r="A38" s="352"/>
      <x:c r="B38" s="352"/>
      <x:c r="C38" s="352"/>
      <x:c r="D38" s="352"/>
      <x:c r="E38" s="352"/>
      <x:c r="F38" s="352"/>
      <x:c r="G38" s="352"/>
      <x:c r="H38" s="352"/>
      <x:c r="I38" s="352"/>
      <x:c r="J38" s="352"/>
      <x:c r="K38" s="352"/>
      <x:c r="L38" s="352"/>
      <x:c r="M38" s="352"/>
      <x:c r="N38" s="352"/>
      <x:c r="O38" s="352"/>
      <x:c r="P38" s="352"/>
      <x:c r="Q38" s="352"/>
      <x:c r="R38" s="352"/>
      <x:c r="S38" s="352"/>
    </x:row>
    <x:row r="39">
      <x:c r="A39" s="352"/>
      <x:c r="B39" s="352"/>
      <x:c r="C39" s="352"/>
      <x:c r="D39" s="352"/>
      <x:c r="E39" s="352"/>
      <x:c r="F39" s="352"/>
      <x:c r="G39" s="352"/>
      <x:c r="H39" s="352"/>
      <x:c r="I39" s="352"/>
      <x:c r="J39" s="352"/>
      <x:c r="K39" s="352"/>
      <x:c r="L39" s="352"/>
      <x:c r="M39" s="352"/>
      <x:c r="N39" s="352"/>
      <x:c r="O39" s="352"/>
      <x:c r="P39" s="352"/>
      <x:c r="Q39" s="352"/>
      <x:c r="R39" s="352"/>
      <x:c r="S39" s="352"/>
    </x:row>
    <x:row r="40">
      <x:c r="A40" s="352"/>
      <x:c r="B40" s="352"/>
      <x:c r="C40" s="352"/>
      <x:c r="D40" s="352"/>
      <x:c r="E40" s="352"/>
      <x:c r="F40" s="352"/>
      <x:c r="G40" s="352"/>
      <x:c r="H40" s="352"/>
      <x:c r="I40" s="352"/>
      <x:c r="J40" s="352"/>
      <x:c r="K40" s="352"/>
      <x:c r="L40" s="352"/>
      <x:c r="M40" s="352"/>
      <x:c r="N40" s="352"/>
      <x:c r="O40" s="352"/>
      <x:c r="P40" s="352"/>
      <x:c r="Q40" s="352"/>
      <x:c r="R40" s="352"/>
      <x:c r="S40" s="352"/>
    </x:row>
    <x:row r="41">
      <x:c r="A41" s="352"/>
      <x:c r="B41" s="352"/>
      <x:c r="C41" s="352"/>
      <x:c r="D41" s="352"/>
      <x:c r="E41" s="352"/>
      <x:c r="F41" s="352"/>
      <x:c r="G41" s="352"/>
      <x:c r="H41" s="352"/>
      <x:c r="I41" s="352"/>
      <x:c r="J41" s="352"/>
      <x:c r="K41" s="352"/>
      <x:c r="L41" s="352"/>
      <x:c r="M41" s="352"/>
      <x:c r="N41" s="352"/>
      <x:c r="O41" s="352"/>
      <x:c r="P41" s="352"/>
      <x:c r="Q41" s="352"/>
      <x:c r="R41" s="352"/>
      <x:c r="S41" s="352"/>
    </x:row>
    <x:row r="42">
      <x:c r="A42" s="352"/>
      <x:c r="B42" s="352"/>
      <x:c r="C42" s="352"/>
      <x:c r="D42" s="352"/>
      <x:c r="E42" s="352"/>
      <x:c r="F42" s="352"/>
      <x:c r="G42" s="352"/>
      <x:c r="H42" s="352"/>
      <x:c r="I42" s="352"/>
      <x:c r="J42" s="352"/>
      <x:c r="K42" s="352"/>
      <x:c r="L42" s="352"/>
      <x:c r="M42" s="352"/>
      <x:c r="N42" s="352"/>
      <x:c r="O42" s="352"/>
      <x:c r="P42" s="352"/>
      <x:c r="Q42" s="352"/>
      <x:c r="R42" s="352"/>
      <x:c r="S42" s="352"/>
    </x:row>
    <x:row r="43">
      <x:c r="A43" s="352"/>
      <x:c r="B43" s="352"/>
      <x:c r="C43" s="352"/>
      <x:c r="D43" s="352"/>
      <x:c r="E43" s="352"/>
      <x:c r="F43" s="352"/>
      <x:c r="G43" s="352"/>
      <x:c r="H43" s="352"/>
      <x:c r="I43" s="352"/>
      <x:c r="J43" s="352"/>
      <x:c r="K43" s="352"/>
      <x:c r="L43" s="352"/>
      <x:c r="M43" s="352"/>
      <x:c r="N43" s="352"/>
      <x:c r="O43" s="352"/>
      <x:c r="P43" s="352"/>
      <x:c r="Q43" s="352"/>
      <x:c r="R43" s="352"/>
      <x:c r="S43" s="352"/>
    </x:row>
    <x:row r="44">
      <x:c r="A44" s="352"/>
      <x:c r="B44" s="352"/>
      <x:c r="C44" s="352"/>
      <x:c r="D44" s="352"/>
      <x:c r="E44" s="352"/>
      <x:c r="F44" s="352"/>
      <x:c r="G44" s="352"/>
      <x:c r="H44" s="352"/>
      <x:c r="I44" s="352"/>
      <x:c r="J44" s="352"/>
      <x:c r="K44" s="352"/>
      <x:c r="L44" s="352"/>
      <x:c r="M44" s="352"/>
      <x:c r="N44" s="352"/>
      <x:c r="O44" s="352"/>
      <x:c r="P44" s="352"/>
      <x:c r="Q44" s="352"/>
      <x:c r="R44" s="352"/>
      <x:c r="S44" s="352"/>
    </x:row>
    <x:row r="45">
      <x:c r="A45" s="352"/>
      <x:c r="B45" s="352"/>
      <x:c r="C45" s="352"/>
      <x:c r="D45" s="352"/>
      <x:c r="E45" s="352"/>
      <x:c r="F45" s="352"/>
      <x:c r="G45" s="352"/>
      <x:c r="H45" s="352"/>
      <x:c r="I45" s="352"/>
      <x:c r="J45" s="352"/>
      <x:c r="K45" s="352"/>
      <x:c r="L45" s="352"/>
      <x:c r="M45" s="352"/>
      <x:c r="N45" s="352"/>
      <x:c r="O45" s="352"/>
      <x:c r="P45" s="352"/>
      <x:c r="Q45" s="352"/>
      <x:c r="R45" s="352"/>
      <x:c r="S45" s="352"/>
    </x:row>
    <x:row r="46">
      <x:c r="A46" s="352"/>
      <x:c r="B46" s="352"/>
      <x:c r="C46" s="352"/>
      <x:c r="D46" s="352"/>
      <x:c r="E46" s="352"/>
      <x:c r="F46" s="352"/>
      <x:c r="G46" s="352"/>
      <x:c r="H46" s="352"/>
      <x:c r="I46" s="352"/>
      <x:c r="J46" s="352"/>
      <x:c r="K46" s="352"/>
      <x:c r="L46" s="352"/>
      <x:c r="M46" s="352"/>
      <x:c r="N46" s="352"/>
      <x:c r="O46" s="352"/>
      <x:c r="P46" s="352"/>
      <x:c r="Q46" s="352"/>
      <x:c r="R46" s="352"/>
      <x:c r="S46" s="352"/>
    </x:row>
    <x:row r="47">
      <x:c r="A47" s="352"/>
      <x:c r="B47" s="352"/>
      <x:c r="C47" s="352"/>
      <x:c r="D47" s="352"/>
      <x:c r="E47" s="352"/>
      <x:c r="F47" s="352"/>
      <x:c r="G47" s="352"/>
      <x:c r="H47" s="352"/>
      <x:c r="I47" s="352"/>
      <x:c r="J47" s="352"/>
      <x:c r="K47" s="352"/>
      <x:c r="L47" s="352"/>
      <x:c r="M47" s="352"/>
      <x:c r="N47" s="352"/>
      <x:c r="O47" s="352"/>
      <x:c r="P47" s="352"/>
      <x:c r="Q47" s="352"/>
      <x:c r="R47" s="352"/>
      <x:c r="S47" s="352"/>
    </x:row>
    <x:row r="48">
      <x:c r="A48" s="352"/>
      <x:c r="B48" s="352"/>
      <x:c r="C48" s="352"/>
      <x:c r="D48" s="352"/>
      <x:c r="E48" s="352"/>
      <x:c r="F48" s="352"/>
      <x:c r="G48" s="352"/>
      <x:c r="H48" s="352"/>
      <x:c r="I48" s="352"/>
      <x:c r="J48" s="352"/>
      <x:c r="K48" s="352"/>
      <x:c r="L48" s="352"/>
      <x:c r="M48" s="352"/>
      <x:c r="N48" s="352"/>
      <x:c r="O48" s="352"/>
      <x:c r="P48" s="352"/>
      <x:c r="Q48" s="352"/>
      <x:c r="R48" s="352"/>
      <x:c r="S48" s="352"/>
    </x:row>
    <x:row r="49">
      <x:c r="A49" s="352"/>
      <x:c r="B49" s="352"/>
      <x:c r="C49" s="352"/>
      <x:c r="D49" s="352"/>
      <x:c r="E49" s="352"/>
      <x:c r="F49" s="352"/>
      <x:c r="G49" s="352"/>
      <x:c r="H49" s="352"/>
      <x:c r="I49" s="352"/>
      <x:c r="J49" s="352"/>
      <x:c r="K49" s="352"/>
      <x:c r="L49" s="352"/>
      <x:c r="M49" s="352"/>
      <x:c r="N49" s="352"/>
      <x:c r="O49" s="352"/>
      <x:c r="P49" s="352"/>
      <x:c r="Q49" s="352"/>
      <x:c r="R49" s="352"/>
      <x:c r="S49" s="352"/>
    </x:row>
    <x:row r="50">
      <x:c r="A50" s="352"/>
      <x:c r="B50" s="352"/>
      <x:c r="C50" s="352"/>
      <x:c r="D50" s="352"/>
      <x:c r="E50" s="352"/>
      <x:c r="F50" s="352"/>
      <x:c r="G50" s="352"/>
      <x:c r="H50" s="352"/>
      <x:c r="I50" s="352"/>
      <x:c r="J50" s="352"/>
      <x:c r="K50" s="352"/>
      <x:c r="L50" s="352"/>
      <x:c r="M50" s="352"/>
      <x:c r="N50" s="352"/>
      <x:c r="O50" s="352"/>
      <x:c r="P50" s="352"/>
      <x:c r="Q50" s="352"/>
      <x:c r="R50" s="352"/>
      <x:c r="S50" s="352"/>
    </x:row>
    <x:row r="51">
      <x:c r="A51" s="352"/>
      <x:c r="B51" s="352"/>
      <x:c r="C51" s="352"/>
      <x:c r="D51" s="352"/>
      <x:c r="E51" s="352"/>
      <x:c r="F51" s="352"/>
      <x:c r="G51" s="352"/>
      <x:c r="H51" s="352"/>
      <x:c r="I51" s="352"/>
      <x:c r="J51" s="352"/>
      <x:c r="K51" s="352"/>
      <x:c r="L51" s="352"/>
      <x:c r="M51" s="352"/>
      <x:c r="N51" s="352"/>
      <x:c r="O51" s="352"/>
      <x:c r="P51" s="352"/>
      <x:c r="Q51" s="352"/>
      <x:c r="R51" s="352"/>
      <x:c r="S51" s="352"/>
    </x:row>
    <x:row r="52">
      <x:c r="A52" s="352"/>
      <x:c r="B52" s="352"/>
      <x:c r="C52" s="352"/>
      <x:c r="D52" s="352"/>
      <x:c r="E52" s="352"/>
      <x:c r="F52" s="352"/>
      <x:c r="G52" s="352"/>
      <x:c r="H52" s="352"/>
      <x:c r="I52" s="352"/>
      <x:c r="J52" s="352"/>
      <x:c r="K52" s="352"/>
      <x:c r="L52" s="352"/>
      <x:c r="M52" s="352"/>
      <x:c r="N52" s="352"/>
      <x:c r="O52" s="352"/>
      <x:c r="P52" s="352"/>
      <x:c r="Q52" s="352"/>
      <x:c r="R52" s="352"/>
      <x:c r="S52" s="352"/>
    </x:row>
    <x:row r="53">
      <x:c r="A53" s="352"/>
      <x:c r="B53" s="352"/>
      <x:c r="C53" s="352"/>
      <x:c r="D53" s="352"/>
      <x:c r="E53" s="352"/>
      <x:c r="F53" s="352"/>
      <x:c r="G53" s="352"/>
      <x:c r="H53" s="352"/>
      <x:c r="I53" s="352"/>
      <x:c r="J53" s="352"/>
      <x:c r="K53" s="352"/>
      <x:c r="L53" s="352"/>
      <x:c r="M53" s="352"/>
      <x:c r="N53" s="352"/>
      <x:c r="O53" s="352"/>
      <x:c r="P53" s="352"/>
      <x:c r="Q53" s="352"/>
      <x:c r="R53" s="352"/>
      <x:c r="S53" s="352"/>
    </x:row>
    <x:row r="54">
      <x:c r="A54" s="352"/>
      <x:c r="B54" s="352"/>
      <x:c r="C54" s="352"/>
      <x:c r="D54" s="352"/>
      <x:c r="E54" s="352"/>
      <x:c r="F54" s="352"/>
      <x:c r="G54" s="352"/>
      <x:c r="H54" s="352"/>
      <x:c r="I54" s="352"/>
      <x:c r="J54" s="352"/>
      <x:c r="K54" s="352"/>
      <x:c r="L54" s="352"/>
      <x:c r="M54" s="352"/>
      <x:c r="N54" s="352"/>
      <x:c r="O54" s="352"/>
      <x:c r="P54" s="352"/>
      <x:c r="Q54" s="352"/>
      <x:c r="R54" s="352"/>
      <x:c r="S54" s="352"/>
    </x:row>
    <x:row r="55">
      <x:c r="A55" s="352"/>
      <x:c r="B55" s="352"/>
      <x:c r="C55" s="352"/>
      <x:c r="D55" s="352"/>
      <x:c r="E55" s="352"/>
      <x:c r="F55" s="352"/>
      <x:c r="G55" s="352"/>
      <x:c r="H55" s="352"/>
      <x:c r="I55" s="352"/>
      <x:c r="J55" s="352"/>
      <x:c r="K55" s="352"/>
      <x:c r="L55" s="352"/>
      <x:c r="M55" s="352"/>
      <x:c r="N55" s="352"/>
      <x:c r="O55" s="352"/>
      <x:c r="P55" s="352"/>
      <x:c r="Q55" s="352"/>
      <x:c r="R55" s="352"/>
      <x:c r="S55" s="352"/>
    </x:row>
    <x:row r="56">
      <x:c r="A56" s="352"/>
      <x:c r="B56" s="352"/>
      <x:c r="C56" s="352"/>
      <x:c r="D56" s="352"/>
      <x:c r="E56" s="352"/>
      <x:c r="F56" s="352"/>
      <x:c r="G56" s="352"/>
      <x:c r="H56" s="352"/>
      <x:c r="I56" s="352"/>
      <x:c r="J56" s="352"/>
      <x:c r="K56" s="352"/>
      <x:c r="L56" s="352"/>
      <x:c r="M56" s="352"/>
      <x:c r="N56" s="352"/>
      <x:c r="O56" s="352"/>
      <x:c r="P56" s="352"/>
      <x:c r="Q56" s="352"/>
      <x:c r="R56" s="352"/>
      <x:c r="S56" s="352"/>
    </x:row>
    <x:row r="57">
      <x:c r="A57" s="352"/>
      <x:c r="B57" s="352"/>
      <x:c r="C57" s="352"/>
      <x:c r="D57" s="352"/>
      <x:c r="E57" s="352"/>
      <x:c r="F57" s="352"/>
      <x:c r="G57" s="352"/>
      <x:c r="H57" s="352"/>
      <x:c r="I57" s="352"/>
      <x:c r="J57" s="352"/>
      <x:c r="K57" s="352"/>
      <x:c r="L57" s="352"/>
      <x:c r="M57" s="352"/>
      <x:c r="N57" s="352"/>
      <x:c r="O57" s="352"/>
      <x:c r="P57" s="352"/>
      <x:c r="Q57" s="352"/>
      <x:c r="R57" s="352"/>
      <x:c r="S57" s="352"/>
    </x:row>
    <x:row r="58">
      <x:c r="A58" s="352"/>
      <x:c r="B58" s="352"/>
      <x:c r="C58" s="352"/>
      <x:c r="D58" s="352"/>
      <x:c r="E58" s="352"/>
      <x:c r="F58" s="352"/>
      <x:c r="G58" s="352"/>
      <x:c r="H58" s="352"/>
      <x:c r="I58" s="352"/>
      <x:c r="J58" s="352"/>
      <x:c r="K58" s="352"/>
      <x:c r="L58" s="352"/>
      <x:c r="M58" s="352"/>
      <x:c r="N58" s="352"/>
      <x:c r="O58" s="352"/>
      <x:c r="P58" s="352"/>
      <x:c r="Q58" s="352"/>
      <x:c r="R58" s="352"/>
      <x:c r="S58" s="352"/>
    </x:row>
    <x:row r="59">
      <x:c r="A59" s="352"/>
      <x:c r="B59" s="352"/>
      <x:c r="C59" s="352"/>
      <x:c r="D59" s="352"/>
      <x:c r="E59" s="352"/>
      <x:c r="F59" s="352"/>
      <x:c r="G59" s="352"/>
      <x:c r="H59" s="352"/>
      <x:c r="I59" s="352"/>
      <x:c r="J59" s="352"/>
      <x:c r="K59" s="352"/>
      <x:c r="L59" s="352"/>
      <x:c r="M59" s="352"/>
      <x:c r="N59" s="352"/>
      <x:c r="O59" s="352"/>
      <x:c r="P59" s="352"/>
      <x:c r="Q59" s="352"/>
      <x:c r="R59" s="352"/>
      <x:c r="S59" s="352"/>
    </x:row>
    <x:row r="60">
      <x:c r="A60" s="352"/>
      <x:c r="B60" s="352"/>
      <x:c r="C60" s="352"/>
      <x:c r="D60" s="352"/>
      <x:c r="E60" s="352"/>
      <x:c r="F60" s="352"/>
      <x:c r="G60" s="352"/>
      <x:c r="H60" s="352"/>
      <x:c r="I60" s="352"/>
      <x:c r="J60" s="352"/>
      <x:c r="K60" s="352"/>
      <x:c r="L60" s="352"/>
      <x:c r="M60" s="352"/>
      <x:c r="N60" s="352"/>
      <x:c r="O60" s="352"/>
      <x:c r="P60" s="352"/>
      <x:c r="Q60" s="352"/>
      <x:c r="R60" s="352"/>
      <x:c r="S60" s="352"/>
    </x:row>
  </x:sheetData>
  <x:mergeCells>
    <x:mergeCell ref="A1:N2"/>
    <x:mergeCell ref="A4:N5"/>
    <x:mergeCell ref="A7:G7"/>
    <x:mergeCell ref="I7:N7"/>
    <x:mergeCell ref="A17:N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9" hidden="0" customWidth="1"/>
    <x:col min="3" max="3" width="22" hidden="0" customWidth="1"/>
    <x:col min="5" max="5" width="22" hidden="0" customWidth="1"/>
    <x:col min="6" max="6" width="18" hidden="0" customWidth="1"/>
    <x:col min="7" max="7" width="18" hidden="0" customWidth="1"/>
  </x:cols>
  <x:sheetData>
    <x:row r="1" ht="34" customHeight="1">
      <x:c r="A1" s="5" t="str">
        <x:v>01 · PARÁMETROS DE PLANIFICACIÓN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  <x:c r="N1" s="352"/>
      <x:c r="O1" s="352"/>
      <x:c r="P1" s="352"/>
      <x:c r="Q1" s="352"/>
      <x:c r="R1" s="352"/>
      <x:c r="S1" s="352"/>
    </x:row>
    <x:row r="2">
      <x:c r="A2" s="352"/>
      <x:c r="B2" s="352"/>
      <x:c r="C2" s="352"/>
      <x:c r="D2" s="352"/>
      <x:c r="E2" s="352"/>
      <x:c r="F2" s="352"/>
      <x:c r="G2" s="352"/>
      <x:c r="H2" s="352"/>
      <x:c r="I2" s="352"/>
      <x:c r="J2" s="352"/>
      <x:c r="K2" s="352"/>
      <x:c r="L2" s="352"/>
      <x:c r="M2" s="352"/>
      <x:c r="N2" s="352"/>
      <x:c r="O2" s="352"/>
      <x:c r="P2" s="352"/>
      <x:c r="Q2" s="352"/>
      <x:c r="R2" s="352"/>
      <x:c r="S2" s="352"/>
    </x:row>
    <x:row r="3">
      <x:c r="A3" s="352"/>
      <x:c r="B3" s="352"/>
      <x:c r="C3" s="352"/>
      <x:c r="D3" s="352"/>
      <x:c r="E3" s="352"/>
      <x:c r="F3" s="352"/>
      <x:c r="G3" s="352"/>
      <x:c r="H3" s="352"/>
      <x:c r="I3" s="352"/>
      <x:c r="J3" s="352"/>
      <x:c r="K3" s="352"/>
      <x:c r="L3" s="352"/>
      <x:c r="M3" s="352"/>
      <x:c r="N3" s="352"/>
      <x:c r="O3" s="352"/>
      <x:c r="P3" s="352"/>
      <x:c r="Q3" s="352"/>
      <x:c r="R3" s="352"/>
      <x:c r="S3" s="352"/>
    </x:row>
    <x:row r="4">
      <x:c r="A4" s="352"/>
      <x:c r="B4" s="352"/>
      <x:c r="C4" s="352"/>
      <x:c r="D4" s="352"/>
      <x:c r="E4" s="352"/>
      <x:c r="F4" s="352"/>
      <x:c r="G4" s="352"/>
      <x:c r="H4" s="352"/>
      <x:c r="I4" s="352"/>
      <x:c r="J4" s="352"/>
      <x:c r="K4" s="352"/>
      <x:c r="L4" s="352"/>
      <x:c r="M4" s="352"/>
      <x:c r="N4" s="352"/>
      <x:c r="O4" s="352"/>
      <x:c r="P4" s="352"/>
      <x:c r="Q4" s="352"/>
      <x:c r="R4" s="352"/>
      <x:c r="S4" s="352"/>
    </x:row>
    <x:row r="5" ht="22" customHeight="1">
      <x:c r="A5" s="78" t="str">
        <x:v>Parámetro</x:v>
      </x:c>
      <x:c r="B5" s="78" t="str">
        <x:v>Valor</x:v>
      </x:c>
      <x:c r="C5" s="78" t="str">
        <x:v>Unidad / criterio</x:v>
      </x:c>
      <x:c r="D5" s="352"/>
      <x:c r="E5" s="39" t="str">
        <x:v>CRITERIO DEL FACTOR DE PLANIFICACIÓN</x:v>
      </x:c>
      <x:c r="F5" s="352"/>
      <x:c r="G5" s="352"/>
      <x:c r="H5" s="352"/>
      <x:c r="I5" s="352"/>
      <x:c r="J5" s="352"/>
      <x:c r="K5" s="352"/>
      <x:c r="L5" s="352"/>
      <x:c r="M5" s="352"/>
      <x:c r="N5" s="352"/>
      <x:c r="O5" s="352"/>
      <x:c r="P5" s="352"/>
      <x:c r="Q5" s="352"/>
      <x:c r="R5" s="352"/>
      <x:c r="S5" s="352"/>
    </x:row>
    <x:row r="6">
      <x:c r="A6" s="370" t="str">
        <x:v>Proyecto</x:v>
      </x:c>
      <x:c r="B6" s="371" t="str">
        <x:v>Proyecto demostrativo</x:v>
      </x:c>
      <x:c r="C6" s="372" t="str">
        <x:v>Texto</x:v>
      </x:c>
      <x:c r="D6" s="352"/>
      <x:c r="E6" s="373" t="str">
        <x:v>Fp es un supuesto previo a la ejecución. Representa disponibilidad, interferencias previstas, condiciones del frente, logística, aprendizaje y restricciones conocidas. No es un indicador real.
Fp = 1,00 reproduce la capacidad teórica del APU. Valores menores aumentan duración, horas programadas de mano de obra/equipo y costos dependientes del tiempo.</x:v>
      </x:c>
      <x:c r="F6" s="352"/>
      <x:c r="G6" s="352"/>
      <x:c r="H6" s="352"/>
      <x:c r="I6" s="352"/>
      <x:c r="J6" s="352"/>
      <x:c r="K6" s="352"/>
      <x:c r="L6" s="352"/>
      <x:c r="M6" s="352"/>
      <x:c r="N6" s="352"/>
      <x:c r="O6" s="352"/>
      <x:c r="P6" s="352"/>
      <x:c r="Q6" s="352"/>
      <x:c r="R6" s="352"/>
      <x:c r="S6" s="352"/>
    </x:row>
    <x:row r="7">
      <x:c r="A7" s="370" t="str">
        <x:v>Código EDT / APU</x:v>
      </x:c>
      <x:c r="B7" s="374" t="str">
        <x:v>1.1.1</x:v>
      </x:c>
      <x:c r="C7" s="372" t="str">
        <x:v>Código</x:v>
      </x:c>
      <x:c r="D7" s="352"/>
      <x:c r="E7" s="352"/>
      <x:c r="F7" s="352"/>
      <x:c r="G7" s="352"/>
      <x:c r="H7" s="352"/>
      <x:c r="I7" s="352"/>
      <x:c r="J7" s="352"/>
      <x:c r="K7" s="352"/>
      <x:c r="L7" s="352"/>
      <x:c r="M7" s="352"/>
      <x:c r="N7" s="352"/>
      <x:c r="O7" s="352"/>
      <x:c r="P7" s="352"/>
      <x:c r="Q7" s="352"/>
      <x:c r="R7" s="352"/>
      <x:c r="S7" s="352"/>
    </x:row>
    <x:row r="8">
      <x:c r="A8" s="370" t="str">
        <x:v>Actividad</x:v>
      </x:c>
      <x:c r="B8" s="375" t="str">
        <x:v>Replanteo y nivelación</x:v>
      </x:c>
      <x:c r="C8" s="372" t="str">
        <x:v>Texto</x:v>
      </x:c>
      <x:c r="D8" s="352"/>
      <x:c r="E8" s="352"/>
      <x:c r="F8" s="352"/>
      <x:c r="G8" s="352"/>
      <x:c r="H8" s="352"/>
      <x:c r="I8" s="352"/>
      <x:c r="J8" s="352"/>
      <x:c r="K8" s="352"/>
      <x:c r="L8" s="352"/>
      <x:c r="M8" s="352"/>
      <x:c r="N8" s="352"/>
      <x:c r="O8" s="352"/>
      <x:c r="P8" s="352"/>
      <x:c r="Q8" s="352"/>
      <x:c r="R8" s="352"/>
      <x:c r="S8" s="352"/>
    </x:row>
    <x:row r="9">
      <x:c r="A9" s="370" t="str">
        <x:v>Unidad de obra</x:v>
      </x:c>
      <x:c r="B9" s="375" t="str">
        <x:v>m²</x:v>
      </x:c>
      <x:c r="C9" s="372" t="str">
        <x:v>Unidad</x:v>
      </x:c>
      <x:c r="D9" s="352"/>
      <x:c r="E9" s="352"/>
      <x:c r="F9" s="352"/>
      <x:c r="G9" s="352"/>
      <x:c r="H9" s="352"/>
      <x:c r="I9" s="352"/>
      <x:c r="J9" s="352"/>
      <x:c r="K9" s="352"/>
      <x:c r="L9" s="352"/>
      <x:c r="M9" s="352"/>
      <x:c r="N9" s="352"/>
      <x:c r="O9" s="352"/>
      <x:c r="P9" s="352"/>
      <x:c r="Q9" s="352"/>
      <x:c r="R9" s="352"/>
      <x:c r="S9" s="352"/>
    </x:row>
    <x:row r="10">
      <x:c r="A10" s="370" t="str">
        <x:v>Cantidad total Q</x:v>
      </x:c>
      <x:c r="B10" s="376" t="n">
        <x:v>115.62</x:v>
      </x:c>
      <x:c r="C10" s="372" t="str">
        <x:v>m²</x:v>
      </x:c>
      <x:c r="D10" s="352"/>
      <x:c r="E10" s="352"/>
      <x:c r="F10" s="352"/>
      <x:c r="G10" s="352"/>
      <x:c r="H10" s="352"/>
      <x:c r="I10" s="352"/>
      <x:c r="J10" s="352"/>
      <x:c r="K10" s="352"/>
      <x:c r="L10" s="352"/>
      <x:c r="M10" s="352"/>
      <x:c r="N10" s="352"/>
      <x:c r="O10" s="352"/>
      <x:c r="P10" s="352"/>
      <x:c r="Q10" s="352"/>
      <x:c r="R10" s="352"/>
      <x:c r="S10" s="352"/>
    </x:row>
    <x:row r="11">
      <x:c r="A11" s="370" t="str">
        <x:v>Jornada</x:v>
      </x:c>
      <x:c r="B11" s="377" t="n">
        <x:v>8</x:v>
      </x:c>
      <x:c r="C11" s="372" t="str">
        <x:v>h/día</x:v>
      </x:c>
      <x:c r="D11" s="352"/>
      <x:c r="E11" s="352"/>
      <x:c r="F11" s="352"/>
      <x:c r="G11" s="352"/>
      <x:c r="H11" s="352"/>
      <x:c r="I11" s="352"/>
      <x:c r="J11" s="352"/>
      <x:c r="K11" s="352"/>
      <x:c r="L11" s="352"/>
      <x:c r="M11" s="352"/>
      <x:c r="N11" s="352"/>
      <x:c r="O11" s="352"/>
      <x:c r="P11" s="352"/>
      <x:c r="Q11" s="352"/>
      <x:c r="R11" s="352"/>
      <x:c r="S11" s="352"/>
    </x:row>
    <x:row r="12">
      <x:c r="A12" s="370" t="str">
        <x:v>Factor de planificación Fp</x:v>
      </x:c>
      <x:c r="B12" s="378" t="n">
        <x:v>0.85</x:v>
      </x:c>
      <x:c r="C12" s="372" t="str">
        <x:v>0 &lt; Fp ≤ 1</x:v>
      </x:c>
      <x:c r="D12" s="352"/>
      <x:c r="E12" s="352"/>
      <x:c r="F12" s="352"/>
      <x:c r="G12" s="352"/>
      <x:c r="H12" s="352"/>
      <x:c r="I12" s="352"/>
      <x:c r="J12" s="352"/>
      <x:c r="K12" s="352"/>
      <x:c r="L12" s="352"/>
      <x:c r="M12" s="352"/>
      <x:c r="N12" s="352"/>
      <x:c r="O12" s="352"/>
      <x:c r="P12" s="352"/>
      <x:c r="Q12" s="352"/>
      <x:c r="R12" s="352"/>
      <x:c r="S12" s="352"/>
    </x:row>
    <x:row r="13">
      <x:c r="A13" s="370" t="str">
        <x:v>Fecha de inicio planificada</x:v>
      </x:c>
      <x:c r="B13" s="374" t="n">
        <x:v>46216</x:v>
      </x:c>
      <x:c r="C13" s="372" t="str">
        <x:v>Fecha</x:v>
      </x:c>
      <x:c r="D13" s="352"/>
      <x:c r="E13" s="352"/>
      <x:c r="F13" s="352"/>
      <x:c r="G13" s="352"/>
      <x:c r="H13" s="352"/>
      <x:c r="I13" s="352"/>
      <x:c r="J13" s="352"/>
      <x:c r="K13" s="352"/>
      <x:c r="L13" s="352"/>
      <x:c r="M13" s="352"/>
      <x:c r="N13" s="352"/>
      <x:c r="O13" s="352"/>
      <x:c r="P13" s="352"/>
      <x:c r="Q13" s="352"/>
      <x:c r="R13" s="352"/>
      <x:c r="S13" s="352"/>
    </x:row>
    <x:row r="14" ht="22" customHeight="1">
      <x:c r="A14" s="370" t="str">
        <x:v>Costo indirecto fijo</x:v>
      </x:c>
      <x:c r="B14" s="374" t="n">
        <x:v>0.18</x:v>
      </x:c>
      <x:c r="C14" s="372" t="str">
        <x:v>US$/m²</x:v>
      </x:c>
      <x:c r="D14" s="352"/>
      <x:c r="E14" s="21" t="str">
        <x:v>RANGO ORIENTATIVO PARA ESCENARIOS</x:v>
      </x:c>
      <x:c r="F14" s="352"/>
      <x:c r="G14" s="352"/>
      <x:c r="H14" s="352"/>
      <x:c r="I14" s="352"/>
      <x:c r="J14" s="352"/>
      <x:c r="K14" s="352"/>
      <x:c r="L14" s="352"/>
      <x:c r="M14" s="352"/>
      <x:c r="N14" s="352"/>
      <x:c r="O14" s="352"/>
      <x:c r="P14" s="352"/>
      <x:c r="Q14" s="352"/>
      <x:c r="R14" s="352"/>
      <x:c r="S14" s="352"/>
    </x:row>
    <x:row r="15" ht="30" customHeight="1">
      <x:c r="A15" s="370" t="str">
        <x:v>Política de costo</x:v>
      </x:c>
      <x:c r="B15" s="374" t="str">
        <x:v>Exacto</x:v>
      </x:c>
      <x:c r="C15" s="372" t="str">
        <x:v>Exacto / Heredado</x:v>
      </x:c>
      <x:c r="D15" s="352"/>
      <x:c r="E15" s="78" t="str">
        <x:v>Escenario</x:v>
      </x:c>
      <x:c r="F15" s="78" t="str">
        <x:v>Fp</x:v>
      </x:c>
      <x:c r="G15" s="78" t="str">
        <x:v>Uso</x:v>
      </x:c>
      <x:c r="H15" s="352"/>
      <x:c r="I15" s="352"/>
      <x:c r="J15" s="352"/>
      <x:c r="K15" s="352"/>
      <x:c r="L15" s="352"/>
      <x:c r="M15" s="352"/>
      <x:c r="N15" s="352"/>
      <x:c r="O15" s="352"/>
      <x:c r="P15" s="352"/>
      <x:c r="Q15" s="352"/>
      <x:c r="R15" s="352"/>
      <x:c r="S15" s="352"/>
    </x:row>
    <x:row r="16">
      <x:c r="A16" s="370" t="str">
        <x:v>Moneda</x:v>
      </x:c>
      <x:c r="B16" s="374" t="str">
        <x:v>US$</x:v>
      </x:c>
      <x:c r="C16" s="372" t="str">
        <x:v>Código</x:v>
      </x:c>
      <x:c r="D16" s="352"/>
      <x:c r="E16" s="354" t="str">
        <x:v>Teórico</x:v>
      </x:c>
      <x:c r="F16" s="379" t="n">
        <x:v>1</x:v>
      </x:c>
      <x:c r="G16" s="354" t="str">
        <x:v>Capacidad sin pérdidas</x:v>
      </x:c>
      <x:c r="H16" s="352"/>
      <x:c r="I16" s="352"/>
      <x:c r="J16" s="352"/>
      <x:c r="K16" s="352"/>
      <x:c r="L16" s="352"/>
      <x:c r="M16" s="352"/>
      <x:c r="N16" s="352"/>
      <x:c r="O16" s="352"/>
      <x:c r="P16" s="352"/>
      <x:c r="Q16" s="352"/>
      <x:c r="R16" s="352"/>
      <x:c r="S16" s="352"/>
    </x:row>
    <x:row r="17">
      <x:c r="A17" s="370" t="str">
        <x:v>Tolerancia de validación</x:v>
      </x:c>
      <x:c r="B17" s="380" t="n">
        <x:v>0.000001</x:v>
      </x:c>
      <x:c r="C17" s="372" t="str">
        <x:v>Absoluta</x:v>
      </x:c>
      <x:c r="D17" s="352"/>
      <x:c r="E17" s="354" t="str">
        <x:v>Favorable</x:v>
      </x:c>
      <x:c r="F17" s="379" t="n">
        <x:v>0.95</x:v>
      </x:c>
      <x:c r="G17" s="354" t="str">
        <x:v>Frente estable</x:v>
      </x:c>
      <x:c r="H17" s="352"/>
      <x:c r="I17" s="352"/>
      <x:c r="J17" s="352"/>
      <x:c r="K17" s="352"/>
      <x:c r="L17" s="352"/>
      <x:c r="M17" s="352"/>
      <x:c r="N17" s="352"/>
      <x:c r="O17" s="352"/>
      <x:c r="P17" s="352"/>
      <x:c r="Q17" s="352"/>
      <x:c r="R17" s="352"/>
      <x:c r="S17" s="352"/>
    </x:row>
    <x:row r="18">
      <x:c r="A18" s="352"/>
      <x:c r="B18" s="352"/>
      <x:c r="C18" s="352"/>
      <x:c r="D18" s="352"/>
      <x:c r="E18" s="354" t="str">
        <x:v>Base</x:v>
      </x:c>
      <x:c r="F18" s="379" t="n">
        <x:v>0.85</x:v>
      </x:c>
      <x:c r="G18" s="354" t="str">
        <x:v>Plan aprobado del ejemplo</x:v>
      </x:c>
      <x:c r="H18" s="352"/>
      <x:c r="I18" s="352"/>
      <x:c r="J18" s="352"/>
      <x:c r="K18" s="352"/>
      <x:c r="L18" s="352"/>
      <x:c r="M18" s="352"/>
      <x:c r="N18" s="352"/>
      <x:c r="O18" s="352"/>
      <x:c r="P18" s="352"/>
      <x:c r="Q18" s="352"/>
      <x:c r="R18" s="352"/>
      <x:c r="S18" s="352"/>
    </x:row>
    <x:row r="19">
      <x:c r="A19" s="352"/>
      <x:c r="B19" s="352"/>
      <x:c r="C19" s="352"/>
      <x:c r="D19" s="352"/>
      <x:c r="E19" s="354" t="str">
        <x:v>Conservador</x:v>
      </x:c>
      <x:c r="F19" s="379" t="n">
        <x:v>0.75</x:v>
      </x:c>
      <x:c r="G19" s="354" t="str">
        <x:v>Restricciones relevantes</x:v>
      </x:c>
      <x:c r="H19" s="352"/>
      <x:c r="I19" s="352"/>
      <x:c r="J19" s="352"/>
      <x:c r="K19" s="352"/>
      <x:c r="L19" s="352"/>
      <x:c r="M19" s="352"/>
      <x:c r="N19" s="352"/>
      <x:c r="O19" s="352"/>
      <x:c r="P19" s="352"/>
      <x:c r="Q19" s="352"/>
      <x:c r="R19" s="352"/>
      <x:c r="S19" s="352"/>
    </x:row>
    <x:row r="20">
      <x:c r="A20" s="352"/>
      <x:c r="B20" s="352"/>
      <x:c r="C20" s="352"/>
      <x:c r="D20" s="352"/>
      <x:c r="E20" s="352"/>
      <x:c r="F20" s="352"/>
      <x:c r="G20" s="352"/>
      <x:c r="H20" s="352"/>
      <x:c r="I20" s="352"/>
      <x:c r="J20" s="352"/>
      <x:c r="K20" s="352"/>
      <x:c r="L20" s="352"/>
      <x:c r="M20" s="352"/>
      <x:c r="N20" s="352"/>
      <x:c r="O20" s="352"/>
      <x:c r="P20" s="352"/>
      <x:c r="Q20" s="352"/>
      <x:c r="R20" s="352"/>
      <x:c r="S20" s="352"/>
    </x:row>
    <x:row r="21">
      <x:c r="A21" s="352"/>
      <x:c r="B21" s="352"/>
      <x:c r="C21" s="352"/>
      <x:c r="D21" s="352"/>
      <x:c r="E21" s="352"/>
      <x:c r="F21" s="352"/>
      <x:c r="G21" s="352"/>
      <x:c r="H21" s="352"/>
      <x:c r="I21" s="352"/>
      <x:c r="J21" s="352"/>
      <x:c r="K21" s="352"/>
      <x:c r="L21" s="352"/>
      <x:c r="M21" s="352"/>
      <x:c r="N21" s="352"/>
      <x:c r="O21" s="352"/>
      <x:c r="P21" s="352"/>
      <x:c r="Q21" s="352"/>
      <x:c r="R21" s="352"/>
      <x:c r="S21" s="352"/>
    </x:row>
    <x:row r="22">
      <x:c r="A22" s="352"/>
      <x:c r="B22" s="352"/>
      <x:c r="C22" s="352"/>
      <x:c r="D22" s="352"/>
      <x:c r="E22" s="352"/>
      <x:c r="F22" s="352"/>
      <x:c r="G22" s="352"/>
      <x:c r="H22" s="352"/>
      <x:c r="I22" s="352"/>
      <x:c r="J22" s="352"/>
      <x:c r="K22" s="352"/>
      <x:c r="L22" s="352"/>
      <x:c r="M22" s="352"/>
      <x:c r="N22" s="352"/>
      <x:c r="O22" s="352"/>
      <x:c r="P22" s="352"/>
      <x:c r="Q22" s="352"/>
      <x:c r="R22" s="352"/>
      <x:c r="S22" s="352"/>
    </x:row>
    <x:row r="23">
      <x:c r="A23" s="352"/>
      <x:c r="B23" s="352"/>
      <x:c r="C23" s="352"/>
      <x:c r="D23" s="352"/>
      <x:c r="E23" s="352"/>
      <x:c r="F23" s="352"/>
      <x:c r="G23" s="352"/>
      <x:c r="H23" s="352"/>
      <x:c r="I23" s="352"/>
      <x:c r="J23" s="352"/>
      <x:c r="K23" s="352"/>
      <x:c r="L23" s="352"/>
      <x:c r="M23" s="352"/>
      <x:c r="N23" s="352"/>
      <x:c r="O23" s="352"/>
      <x:c r="P23" s="352"/>
      <x:c r="Q23" s="352"/>
      <x:c r="R23" s="352"/>
      <x:c r="S23" s="352"/>
    </x:row>
    <x:row r="24">
      <x:c r="A24" s="352"/>
      <x:c r="B24" s="352"/>
      <x:c r="C24" s="352"/>
      <x:c r="D24" s="352"/>
      <x:c r="E24" s="352"/>
      <x:c r="F24" s="352"/>
      <x:c r="G24" s="352"/>
      <x:c r="H24" s="352"/>
      <x:c r="I24" s="352"/>
      <x:c r="J24" s="352"/>
      <x:c r="K24" s="352"/>
      <x:c r="L24" s="352"/>
      <x:c r="M24" s="352"/>
      <x:c r="N24" s="352"/>
      <x:c r="O24" s="352"/>
      <x:c r="P24" s="352"/>
      <x:c r="Q24" s="352"/>
      <x:c r="R24" s="352"/>
      <x:c r="S24" s="352"/>
    </x:row>
    <x:row r="25">
      <x:c r="A25" s="352"/>
      <x:c r="B25" s="352"/>
      <x:c r="C25" s="352"/>
      <x:c r="D25" s="352"/>
      <x:c r="E25" s="352"/>
      <x:c r="F25" s="352"/>
      <x:c r="G25" s="352"/>
      <x:c r="H25" s="352"/>
      <x:c r="I25" s="352"/>
      <x:c r="J25" s="352"/>
      <x:c r="K25" s="352"/>
      <x:c r="L25" s="352"/>
      <x:c r="M25" s="352"/>
      <x:c r="N25" s="352"/>
      <x:c r="O25" s="352"/>
      <x:c r="P25" s="352"/>
      <x:c r="Q25" s="352"/>
      <x:c r="R25" s="352"/>
      <x:c r="S25" s="352"/>
    </x:row>
    <x:row r="26">
      <x:c r="A26" s="352"/>
      <x:c r="B26" s="352"/>
      <x:c r="C26" s="352"/>
      <x:c r="D26" s="352"/>
      <x:c r="E26" s="352"/>
      <x:c r="F26" s="352"/>
      <x:c r="G26" s="352"/>
      <x:c r="H26" s="352"/>
      <x:c r="I26" s="352"/>
      <x:c r="J26" s="352"/>
      <x:c r="K26" s="352"/>
      <x:c r="L26" s="352"/>
      <x:c r="M26" s="352"/>
      <x:c r="N26" s="352"/>
      <x:c r="O26" s="352"/>
      <x:c r="P26" s="352"/>
      <x:c r="Q26" s="352"/>
      <x:c r="R26" s="352"/>
      <x:c r="S26" s="352"/>
    </x:row>
    <x:row r="27">
      <x:c r="A27" s="352"/>
      <x:c r="B27" s="352"/>
      <x:c r="C27" s="352"/>
      <x:c r="D27" s="352"/>
      <x:c r="E27" s="352"/>
      <x:c r="F27" s="352"/>
      <x:c r="G27" s="352"/>
      <x:c r="H27" s="352"/>
      <x:c r="I27" s="352"/>
      <x:c r="J27" s="352"/>
      <x:c r="K27" s="352"/>
      <x:c r="L27" s="352"/>
      <x:c r="M27" s="352"/>
      <x:c r="N27" s="352"/>
      <x:c r="O27" s="352"/>
      <x:c r="P27" s="352"/>
      <x:c r="Q27" s="352"/>
      <x:c r="R27" s="352"/>
      <x:c r="S27" s="352"/>
    </x:row>
    <x:row r="28">
      <x:c r="A28" s="352"/>
      <x:c r="B28" s="352"/>
      <x:c r="C28" s="352"/>
      <x:c r="D28" s="352"/>
      <x:c r="E28" s="352"/>
      <x:c r="F28" s="352"/>
      <x:c r="G28" s="352"/>
      <x:c r="H28" s="352"/>
      <x:c r="I28" s="352"/>
      <x:c r="J28" s="352"/>
      <x:c r="K28" s="352"/>
      <x:c r="L28" s="352"/>
      <x:c r="M28" s="352"/>
      <x:c r="N28" s="352"/>
      <x:c r="O28" s="352"/>
      <x:c r="P28" s="352"/>
      <x:c r="Q28" s="352"/>
      <x:c r="R28" s="352"/>
      <x:c r="S28" s="352"/>
    </x:row>
    <x:row r="29">
      <x:c r="A29" s="352"/>
      <x:c r="B29" s="352"/>
      <x:c r="C29" s="352"/>
      <x:c r="D29" s="352"/>
      <x:c r="E29" s="352"/>
      <x:c r="F29" s="352"/>
      <x:c r="G29" s="352"/>
      <x:c r="H29" s="352"/>
      <x:c r="I29" s="352"/>
      <x:c r="J29" s="352"/>
      <x:c r="K29" s="352"/>
      <x:c r="L29" s="352"/>
      <x:c r="M29" s="352"/>
      <x:c r="N29" s="352"/>
      <x:c r="O29" s="352"/>
      <x:c r="P29" s="352"/>
      <x:c r="Q29" s="352"/>
      <x:c r="R29" s="352"/>
      <x:c r="S29" s="352"/>
    </x:row>
    <x:row r="30">
      <x:c r="A30" s="352"/>
      <x:c r="B30" s="352"/>
      <x:c r="C30" s="352"/>
      <x:c r="D30" s="352"/>
      <x:c r="E30" s="352"/>
      <x:c r="F30" s="352"/>
      <x:c r="G30" s="352"/>
      <x:c r="H30" s="352"/>
      <x:c r="I30" s="352"/>
      <x:c r="J30" s="352"/>
      <x:c r="K30" s="352"/>
      <x:c r="L30" s="352"/>
      <x:c r="M30" s="352"/>
      <x:c r="N30" s="352"/>
      <x:c r="O30" s="352"/>
      <x:c r="P30" s="352"/>
      <x:c r="Q30" s="352"/>
      <x:c r="R30" s="352"/>
      <x:c r="S30" s="352"/>
    </x:row>
    <x:row r="31">
      <x:c r="A31" s="352"/>
      <x:c r="B31" s="352"/>
      <x:c r="C31" s="352"/>
      <x:c r="D31" s="352"/>
      <x:c r="E31" s="352"/>
      <x:c r="F31" s="352"/>
      <x:c r="G31" s="352"/>
      <x:c r="H31" s="352"/>
      <x:c r="I31" s="352"/>
      <x:c r="J31" s="352"/>
      <x:c r="K31" s="352"/>
      <x:c r="L31" s="352"/>
      <x:c r="M31" s="352"/>
      <x:c r="N31" s="352"/>
      <x:c r="O31" s="352"/>
      <x:c r="P31" s="352"/>
      <x:c r="Q31" s="352"/>
      <x:c r="R31" s="352"/>
      <x:c r="S31" s="352"/>
    </x:row>
    <x:row r="32">
      <x:c r="A32" s="352"/>
      <x:c r="B32" s="352"/>
      <x:c r="C32" s="352"/>
      <x:c r="D32" s="352"/>
      <x:c r="E32" s="352"/>
      <x:c r="F32" s="352"/>
      <x:c r="G32" s="352"/>
      <x:c r="H32" s="352"/>
      <x:c r="I32" s="352"/>
      <x:c r="J32" s="352"/>
      <x:c r="K32" s="352"/>
      <x:c r="L32" s="352"/>
      <x:c r="M32" s="352"/>
      <x:c r="N32" s="352"/>
      <x:c r="O32" s="352"/>
      <x:c r="P32" s="352"/>
      <x:c r="Q32" s="352"/>
      <x:c r="R32" s="352"/>
      <x:c r="S32" s="352"/>
    </x:row>
    <x:row r="33">
      <x:c r="A33" s="352"/>
      <x:c r="B33" s="352"/>
      <x:c r="C33" s="352"/>
      <x:c r="D33" s="352"/>
      <x:c r="E33" s="352"/>
      <x:c r="F33" s="352"/>
      <x:c r="G33" s="352"/>
      <x:c r="H33" s="352"/>
      <x:c r="I33" s="352"/>
      <x:c r="J33" s="352"/>
      <x:c r="K33" s="352"/>
      <x:c r="L33" s="352"/>
      <x:c r="M33" s="352"/>
      <x:c r="N33" s="352"/>
      <x:c r="O33" s="352"/>
      <x:c r="P33" s="352"/>
      <x:c r="Q33" s="352"/>
      <x:c r="R33" s="352"/>
      <x:c r="S33" s="352"/>
    </x:row>
    <x:row r="34">
      <x:c r="A34" s="352"/>
      <x:c r="B34" s="352"/>
      <x:c r="C34" s="352"/>
      <x:c r="D34" s="352"/>
      <x:c r="E34" s="352"/>
      <x:c r="F34" s="352"/>
      <x:c r="G34" s="352"/>
      <x:c r="H34" s="352"/>
      <x:c r="I34" s="352"/>
      <x:c r="J34" s="352"/>
      <x:c r="K34" s="352"/>
      <x:c r="L34" s="352"/>
      <x:c r="M34" s="352"/>
      <x:c r="N34" s="352"/>
      <x:c r="O34" s="352"/>
      <x:c r="P34" s="352"/>
      <x:c r="Q34" s="352"/>
      <x:c r="R34" s="352"/>
      <x:c r="S34" s="352"/>
    </x:row>
    <x:row r="35">
      <x:c r="A35" s="352"/>
      <x:c r="B35" s="352"/>
      <x:c r="C35" s="352"/>
      <x:c r="D35" s="352"/>
      <x:c r="E35" s="352"/>
      <x:c r="F35" s="352"/>
      <x:c r="G35" s="352"/>
      <x:c r="H35" s="352"/>
      <x:c r="I35" s="352"/>
      <x:c r="J35" s="352"/>
      <x:c r="K35" s="352"/>
      <x:c r="L35" s="352"/>
      <x:c r="M35" s="352"/>
      <x:c r="N35" s="352"/>
      <x:c r="O35" s="352"/>
      <x:c r="P35" s="352"/>
      <x:c r="Q35" s="352"/>
      <x:c r="R35" s="352"/>
      <x:c r="S35" s="352"/>
    </x:row>
    <x:row r="36">
      <x:c r="A36" s="352"/>
      <x:c r="B36" s="352"/>
      <x:c r="C36" s="352"/>
      <x:c r="D36" s="352"/>
      <x:c r="E36" s="352"/>
      <x:c r="F36" s="352"/>
      <x:c r="G36" s="352"/>
      <x:c r="H36" s="352"/>
      <x:c r="I36" s="352"/>
      <x:c r="J36" s="352"/>
      <x:c r="K36" s="352"/>
      <x:c r="L36" s="352"/>
      <x:c r="M36" s="352"/>
      <x:c r="N36" s="352"/>
      <x:c r="O36" s="352"/>
      <x:c r="P36" s="352"/>
      <x:c r="Q36" s="352"/>
      <x:c r="R36" s="352"/>
      <x:c r="S36" s="352"/>
    </x:row>
    <x:row r="37">
      <x:c r="A37" s="352"/>
      <x:c r="B37" s="352"/>
      <x:c r="C37" s="352"/>
      <x:c r="D37" s="352"/>
      <x:c r="E37" s="352"/>
      <x:c r="F37" s="352"/>
      <x:c r="G37" s="352"/>
      <x:c r="H37" s="352"/>
      <x:c r="I37" s="352"/>
      <x:c r="J37" s="352"/>
      <x:c r="K37" s="352"/>
      <x:c r="L37" s="352"/>
      <x:c r="M37" s="352"/>
      <x:c r="N37" s="352"/>
      <x:c r="O37" s="352"/>
      <x:c r="P37" s="352"/>
      <x:c r="Q37" s="352"/>
      <x:c r="R37" s="352"/>
      <x:c r="S37" s="352"/>
    </x:row>
    <x:row r="38">
      <x:c r="A38" s="352"/>
      <x:c r="B38" s="352"/>
      <x:c r="C38" s="352"/>
      <x:c r="D38" s="352"/>
      <x:c r="E38" s="352"/>
      <x:c r="F38" s="352"/>
      <x:c r="G38" s="352"/>
      <x:c r="H38" s="352"/>
      <x:c r="I38" s="352"/>
      <x:c r="J38" s="352"/>
      <x:c r="K38" s="352"/>
      <x:c r="L38" s="352"/>
      <x:c r="M38" s="352"/>
      <x:c r="N38" s="352"/>
      <x:c r="O38" s="352"/>
      <x:c r="P38" s="352"/>
      <x:c r="Q38" s="352"/>
      <x:c r="R38" s="352"/>
      <x:c r="S38" s="352"/>
    </x:row>
    <x:row r="39">
      <x:c r="A39" s="352"/>
      <x:c r="B39" s="352"/>
      <x:c r="C39" s="352"/>
      <x:c r="D39" s="352"/>
      <x:c r="E39" s="352"/>
      <x:c r="F39" s="352"/>
      <x:c r="G39" s="352"/>
      <x:c r="H39" s="352"/>
      <x:c r="I39" s="352"/>
      <x:c r="J39" s="352"/>
      <x:c r="K39" s="352"/>
      <x:c r="L39" s="352"/>
      <x:c r="M39" s="352"/>
      <x:c r="N39" s="352"/>
      <x:c r="O39" s="352"/>
      <x:c r="P39" s="352"/>
      <x:c r="Q39" s="352"/>
      <x:c r="R39" s="352"/>
      <x:c r="S39" s="352"/>
    </x:row>
    <x:row r="40">
      <x:c r="A40" s="352"/>
      <x:c r="B40" s="352"/>
      <x:c r="C40" s="352"/>
      <x:c r="D40" s="352"/>
      <x:c r="E40" s="352"/>
      <x:c r="F40" s="352"/>
      <x:c r="G40" s="352"/>
      <x:c r="H40" s="352"/>
      <x:c r="I40" s="352"/>
      <x:c r="J40" s="352"/>
      <x:c r="K40" s="352"/>
      <x:c r="L40" s="352"/>
      <x:c r="M40" s="352"/>
      <x:c r="N40" s="352"/>
      <x:c r="O40" s="352"/>
      <x:c r="P40" s="352"/>
      <x:c r="Q40" s="352"/>
      <x:c r="R40" s="352"/>
      <x:c r="S40" s="352"/>
    </x:row>
    <x:row r="41">
      <x:c r="A41" s="352"/>
      <x:c r="B41" s="352"/>
      <x:c r="C41" s="352"/>
      <x:c r="D41" s="352"/>
      <x:c r="E41" s="352"/>
      <x:c r="F41" s="352"/>
      <x:c r="G41" s="352"/>
      <x:c r="H41" s="352"/>
      <x:c r="I41" s="352"/>
      <x:c r="J41" s="352"/>
      <x:c r="K41" s="352"/>
      <x:c r="L41" s="352"/>
      <x:c r="M41" s="352"/>
      <x:c r="N41" s="352"/>
      <x:c r="O41" s="352"/>
      <x:c r="P41" s="352"/>
      <x:c r="Q41" s="352"/>
      <x:c r="R41" s="352"/>
      <x:c r="S41" s="352"/>
    </x:row>
    <x:row r="42">
      <x:c r="A42" s="352"/>
      <x:c r="B42" s="352"/>
      <x:c r="C42" s="352"/>
      <x:c r="D42" s="352"/>
      <x:c r="E42" s="352"/>
      <x:c r="F42" s="352"/>
      <x:c r="G42" s="352"/>
      <x:c r="H42" s="352"/>
      <x:c r="I42" s="352"/>
      <x:c r="J42" s="352"/>
      <x:c r="K42" s="352"/>
      <x:c r="L42" s="352"/>
      <x:c r="M42" s="352"/>
      <x:c r="N42" s="352"/>
      <x:c r="O42" s="352"/>
      <x:c r="P42" s="352"/>
      <x:c r="Q42" s="352"/>
      <x:c r="R42" s="352"/>
      <x:c r="S42" s="352"/>
    </x:row>
    <x:row r="43">
      <x:c r="A43" s="352"/>
      <x:c r="B43" s="352"/>
      <x:c r="C43" s="352"/>
      <x:c r="D43" s="352"/>
      <x:c r="E43" s="352"/>
      <x:c r="F43" s="352"/>
      <x:c r="G43" s="352"/>
      <x:c r="H43" s="352"/>
      <x:c r="I43" s="352"/>
      <x:c r="J43" s="352"/>
      <x:c r="K43" s="352"/>
      <x:c r="L43" s="352"/>
      <x:c r="M43" s="352"/>
      <x:c r="N43" s="352"/>
      <x:c r="O43" s="352"/>
      <x:c r="P43" s="352"/>
      <x:c r="Q43" s="352"/>
      <x:c r="R43" s="352"/>
      <x:c r="S43" s="352"/>
    </x:row>
    <x:row r="44">
      <x:c r="A44" s="352"/>
      <x:c r="B44" s="352"/>
      <x:c r="C44" s="352"/>
      <x:c r="D44" s="352"/>
      <x:c r="E44" s="352"/>
      <x:c r="F44" s="352"/>
      <x:c r="G44" s="352"/>
      <x:c r="H44" s="352"/>
      <x:c r="I44" s="352"/>
      <x:c r="J44" s="352"/>
      <x:c r="K44" s="352"/>
      <x:c r="L44" s="352"/>
      <x:c r="M44" s="352"/>
      <x:c r="N44" s="352"/>
      <x:c r="O44" s="352"/>
      <x:c r="P44" s="352"/>
      <x:c r="Q44" s="352"/>
      <x:c r="R44" s="352"/>
      <x:c r="S44" s="352"/>
    </x:row>
    <x:row r="45">
      <x:c r="A45" s="352"/>
      <x:c r="B45" s="352"/>
      <x:c r="C45" s="352"/>
      <x:c r="D45" s="352"/>
      <x:c r="E45" s="352"/>
      <x:c r="F45" s="352"/>
      <x:c r="G45" s="352"/>
      <x:c r="H45" s="352"/>
      <x:c r="I45" s="352"/>
      <x:c r="J45" s="352"/>
      <x:c r="K45" s="352"/>
      <x:c r="L45" s="352"/>
      <x:c r="M45" s="352"/>
      <x:c r="N45" s="352"/>
      <x:c r="O45" s="352"/>
      <x:c r="P45" s="352"/>
      <x:c r="Q45" s="352"/>
      <x:c r="R45" s="352"/>
      <x:c r="S45" s="352"/>
    </x:row>
    <x:row r="46">
      <x:c r="A46" s="352"/>
      <x:c r="B46" s="352"/>
      <x:c r="C46" s="352"/>
      <x:c r="D46" s="352"/>
      <x:c r="E46" s="352"/>
      <x:c r="F46" s="352"/>
      <x:c r="G46" s="352"/>
      <x:c r="H46" s="352"/>
      <x:c r="I46" s="352"/>
      <x:c r="J46" s="352"/>
      <x:c r="K46" s="352"/>
      <x:c r="L46" s="352"/>
      <x:c r="M46" s="352"/>
      <x:c r="N46" s="352"/>
      <x:c r="O46" s="352"/>
      <x:c r="P46" s="352"/>
      <x:c r="Q46" s="352"/>
      <x:c r="R46" s="352"/>
      <x:c r="S46" s="352"/>
    </x:row>
    <x:row r="47">
      <x:c r="A47" s="352"/>
      <x:c r="B47" s="352"/>
      <x:c r="C47" s="352"/>
      <x:c r="D47" s="352"/>
      <x:c r="E47" s="352"/>
      <x:c r="F47" s="352"/>
      <x:c r="G47" s="352"/>
      <x:c r="H47" s="352"/>
      <x:c r="I47" s="352"/>
      <x:c r="J47" s="352"/>
      <x:c r="K47" s="352"/>
      <x:c r="L47" s="352"/>
      <x:c r="M47" s="352"/>
      <x:c r="N47" s="352"/>
      <x:c r="O47" s="352"/>
      <x:c r="P47" s="352"/>
      <x:c r="Q47" s="352"/>
      <x:c r="R47" s="352"/>
      <x:c r="S47" s="352"/>
    </x:row>
    <x:row r="48">
      <x:c r="A48" s="352"/>
      <x:c r="B48" s="352"/>
      <x:c r="C48" s="352"/>
      <x:c r="D48" s="352"/>
      <x:c r="E48" s="352"/>
      <x:c r="F48" s="352"/>
      <x:c r="G48" s="352"/>
      <x:c r="H48" s="352"/>
      <x:c r="I48" s="352"/>
      <x:c r="J48" s="352"/>
      <x:c r="K48" s="352"/>
      <x:c r="L48" s="352"/>
      <x:c r="M48" s="352"/>
      <x:c r="N48" s="352"/>
      <x:c r="O48" s="352"/>
      <x:c r="P48" s="352"/>
      <x:c r="Q48" s="352"/>
      <x:c r="R48" s="352"/>
      <x:c r="S48" s="352"/>
    </x:row>
    <x:row r="49">
      <x:c r="A49" s="352"/>
      <x:c r="B49" s="352"/>
      <x:c r="C49" s="352"/>
      <x:c r="D49" s="352"/>
      <x:c r="E49" s="352"/>
      <x:c r="F49" s="352"/>
      <x:c r="G49" s="352"/>
      <x:c r="H49" s="352"/>
      <x:c r="I49" s="352"/>
      <x:c r="J49" s="352"/>
      <x:c r="K49" s="352"/>
      <x:c r="L49" s="352"/>
      <x:c r="M49" s="352"/>
      <x:c r="N49" s="352"/>
      <x:c r="O49" s="352"/>
      <x:c r="P49" s="352"/>
      <x:c r="Q49" s="352"/>
      <x:c r="R49" s="352"/>
      <x:c r="S49" s="352"/>
    </x:row>
    <x:row r="50">
      <x:c r="A50" s="352"/>
      <x:c r="B50" s="352"/>
      <x:c r="C50" s="352"/>
      <x:c r="D50" s="352"/>
      <x:c r="E50" s="352"/>
      <x:c r="F50" s="352"/>
      <x:c r="G50" s="352"/>
      <x:c r="H50" s="352"/>
      <x:c r="I50" s="352"/>
      <x:c r="J50" s="352"/>
      <x:c r="K50" s="352"/>
      <x:c r="L50" s="352"/>
      <x:c r="M50" s="352"/>
      <x:c r="N50" s="352"/>
      <x:c r="O50" s="352"/>
      <x:c r="P50" s="352"/>
      <x:c r="Q50" s="352"/>
      <x:c r="R50" s="352"/>
      <x:c r="S50" s="352"/>
    </x:row>
    <x:row r="51">
      <x:c r="A51" s="352"/>
      <x:c r="B51" s="352"/>
      <x:c r="C51" s="352"/>
      <x:c r="D51" s="352"/>
      <x:c r="E51" s="352"/>
      <x:c r="F51" s="352"/>
      <x:c r="G51" s="352"/>
      <x:c r="H51" s="352"/>
      <x:c r="I51" s="352"/>
      <x:c r="J51" s="352"/>
      <x:c r="K51" s="352"/>
      <x:c r="L51" s="352"/>
      <x:c r="M51" s="352"/>
      <x:c r="N51" s="352"/>
      <x:c r="O51" s="352"/>
      <x:c r="P51" s="352"/>
      <x:c r="Q51" s="352"/>
      <x:c r="R51" s="352"/>
      <x:c r="S51" s="352"/>
    </x:row>
    <x:row r="52">
      <x:c r="A52" s="352"/>
      <x:c r="B52" s="352"/>
      <x:c r="C52" s="352"/>
      <x:c r="D52" s="352"/>
      <x:c r="E52" s="352"/>
      <x:c r="F52" s="352"/>
      <x:c r="G52" s="352"/>
      <x:c r="H52" s="352"/>
      <x:c r="I52" s="352"/>
      <x:c r="J52" s="352"/>
      <x:c r="K52" s="352"/>
      <x:c r="L52" s="352"/>
      <x:c r="M52" s="352"/>
      <x:c r="N52" s="352"/>
      <x:c r="O52" s="352"/>
      <x:c r="P52" s="352"/>
      <x:c r="Q52" s="352"/>
      <x:c r="R52" s="352"/>
      <x:c r="S52" s="352"/>
    </x:row>
    <x:row r="53">
      <x:c r="A53" s="352"/>
      <x:c r="B53" s="352"/>
      <x:c r="C53" s="352"/>
      <x:c r="D53" s="352"/>
      <x:c r="E53" s="352"/>
      <x:c r="F53" s="352"/>
      <x:c r="G53" s="352"/>
      <x:c r="H53" s="352"/>
      <x:c r="I53" s="352"/>
      <x:c r="J53" s="352"/>
      <x:c r="K53" s="352"/>
      <x:c r="L53" s="352"/>
      <x:c r="M53" s="352"/>
      <x:c r="N53" s="352"/>
      <x:c r="O53" s="352"/>
      <x:c r="P53" s="352"/>
      <x:c r="Q53" s="352"/>
      <x:c r="R53" s="352"/>
      <x:c r="S53" s="352"/>
    </x:row>
    <x:row r="54">
      <x:c r="A54" s="352"/>
      <x:c r="B54" s="352"/>
      <x:c r="C54" s="352"/>
      <x:c r="D54" s="352"/>
      <x:c r="E54" s="352"/>
      <x:c r="F54" s="352"/>
      <x:c r="G54" s="352"/>
      <x:c r="H54" s="352"/>
      <x:c r="I54" s="352"/>
      <x:c r="J54" s="352"/>
      <x:c r="K54" s="352"/>
      <x:c r="L54" s="352"/>
      <x:c r="M54" s="352"/>
      <x:c r="N54" s="352"/>
      <x:c r="O54" s="352"/>
      <x:c r="P54" s="352"/>
      <x:c r="Q54" s="352"/>
      <x:c r="R54" s="352"/>
      <x:c r="S54" s="352"/>
    </x:row>
    <x:row r="55">
      <x:c r="A55" s="352"/>
      <x:c r="B55" s="352"/>
      <x:c r="C55" s="352"/>
      <x:c r="D55" s="352"/>
      <x:c r="E55" s="352"/>
      <x:c r="F55" s="352"/>
      <x:c r="G55" s="352"/>
      <x:c r="H55" s="352"/>
      <x:c r="I55" s="352"/>
      <x:c r="J55" s="352"/>
      <x:c r="K55" s="352"/>
      <x:c r="L55" s="352"/>
      <x:c r="M55" s="352"/>
      <x:c r="N55" s="352"/>
      <x:c r="O55" s="352"/>
      <x:c r="P55" s="352"/>
      <x:c r="Q55" s="352"/>
      <x:c r="R55" s="352"/>
      <x:c r="S55" s="352"/>
    </x:row>
    <x:row r="56">
      <x:c r="A56" s="352"/>
      <x:c r="B56" s="352"/>
      <x:c r="C56" s="352"/>
      <x:c r="D56" s="352"/>
      <x:c r="E56" s="352"/>
      <x:c r="F56" s="352"/>
      <x:c r="G56" s="352"/>
      <x:c r="H56" s="352"/>
      <x:c r="I56" s="352"/>
      <x:c r="J56" s="352"/>
      <x:c r="K56" s="352"/>
      <x:c r="L56" s="352"/>
      <x:c r="M56" s="352"/>
      <x:c r="N56" s="352"/>
      <x:c r="O56" s="352"/>
      <x:c r="P56" s="352"/>
      <x:c r="Q56" s="352"/>
      <x:c r="R56" s="352"/>
      <x:c r="S56" s="352"/>
    </x:row>
    <x:row r="57">
      <x:c r="A57" s="352"/>
      <x:c r="B57" s="352"/>
      <x:c r="C57" s="352"/>
      <x:c r="D57" s="352"/>
      <x:c r="E57" s="352"/>
      <x:c r="F57" s="352"/>
      <x:c r="G57" s="352"/>
      <x:c r="H57" s="352"/>
      <x:c r="I57" s="352"/>
      <x:c r="J57" s="352"/>
      <x:c r="K57" s="352"/>
      <x:c r="L57" s="352"/>
      <x:c r="M57" s="352"/>
      <x:c r="N57" s="352"/>
      <x:c r="O57" s="352"/>
      <x:c r="P57" s="352"/>
      <x:c r="Q57" s="352"/>
      <x:c r="R57" s="352"/>
      <x:c r="S57" s="352"/>
    </x:row>
    <x:row r="58">
      <x:c r="A58" s="352"/>
      <x:c r="B58" s="352"/>
      <x:c r="C58" s="352"/>
      <x:c r="D58" s="352"/>
      <x:c r="E58" s="352"/>
      <x:c r="F58" s="352"/>
      <x:c r="G58" s="352"/>
      <x:c r="H58" s="352"/>
      <x:c r="I58" s="352"/>
      <x:c r="J58" s="352"/>
      <x:c r="K58" s="352"/>
      <x:c r="L58" s="352"/>
      <x:c r="M58" s="352"/>
      <x:c r="N58" s="352"/>
      <x:c r="O58" s="352"/>
      <x:c r="P58" s="352"/>
      <x:c r="Q58" s="352"/>
      <x:c r="R58" s="352"/>
      <x:c r="S58" s="352"/>
    </x:row>
    <x:row r="59">
      <x:c r="A59" s="352"/>
      <x:c r="B59" s="352"/>
      <x:c r="C59" s="352"/>
      <x:c r="D59" s="352"/>
      <x:c r="E59" s="352"/>
      <x:c r="F59" s="352"/>
      <x:c r="G59" s="352"/>
      <x:c r="H59" s="352"/>
      <x:c r="I59" s="352"/>
      <x:c r="J59" s="352"/>
      <x:c r="K59" s="352"/>
      <x:c r="L59" s="352"/>
      <x:c r="M59" s="352"/>
      <x:c r="N59" s="352"/>
      <x:c r="O59" s="352"/>
      <x:c r="P59" s="352"/>
      <x:c r="Q59" s="352"/>
      <x:c r="R59" s="352"/>
      <x:c r="S59" s="352"/>
    </x:row>
    <x:row r="60">
      <x:c r="A60" s="352"/>
      <x:c r="B60" s="352"/>
      <x:c r="C60" s="352"/>
      <x:c r="D60" s="352"/>
      <x:c r="E60" s="352"/>
      <x:c r="F60" s="352"/>
      <x:c r="G60" s="352"/>
      <x:c r="H60" s="352"/>
      <x:c r="I60" s="352"/>
      <x:c r="J60" s="352"/>
      <x:c r="K60" s="352"/>
      <x:c r="L60" s="352"/>
      <x:c r="M60" s="352"/>
      <x:c r="N60" s="352"/>
      <x:c r="O60" s="352"/>
      <x:c r="P60" s="352"/>
      <x:c r="Q60" s="352"/>
      <x:c r="R60" s="352"/>
      <x:c r="S60" s="352"/>
    </x:row>
  </x:sheetData>
  <x:mergeCells>
    <x:mergeCell ref="A1:G2"/>
    <x:mergeCell ref="E5:G5"/>
    <x:mergeCell ref="E6:G12"/>
    <x:mergeCell ref="E14:G14"/>
  </x:mergeCells>
  <x:dataValidations count="1">
    <x:dataValidation type="list" sqref="B14">
      <x:formula1>"Exacto,Heredado"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7" hidden="0" customWidth="1"/>
    <x:col min="3" max="3" width="33" hidden="0" customWidth="1"/>
    <x:col min="4" max="4" width="12" hidden="0" customWidth="1"/>
    <x:col min="5" max="5" width="16" hidden="0" customWidth="1"/>
    <x:col min="6" max="6" width="14" hidden="0" customWidth="1"/>
    <x:col min="7" max="7" width="12" hidden="0" customWidth="1"/>
    <x:col min="8" max="8" width="12" hidden="0" customWidth="1"/>
    <x:col min="9" max="9" width="19" hidden="0" customWidth="1"/>
    <x:col min="10" max="10" width="15" hidden="0" customWidth="1"/>
    <x:col min="11" max="11" width="15" hidden="0" customWidth="1"/>
    <x:col min="12" max="12" width="17" hidden="0" customWidth="1"/>
    <x:col min="13" max="13" width="17" hidden="0" customWidth="1"/>
    <x:col min="14" max="14" width="17" hidden="0" customWidth="1"/>
    <x:col min="15" max="15" width="26" hidden="0" customWidth="1"/>
  </x:cols>
  <x:sheetData>
    <x:row r="1" ht="34" customHeight="1">
      <x:c r="A1" s="5" t="str">
        <x:v>02 · APU NORMALIZADO PARA PLANIFICACIÓN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  <x:c r="N1" s="352"/>
      <x:c r="O1" s="352"/>
      <x:c r="P1" s="352"/>
      <x:c r="Q1" s="352"/>
      <x:c r="R1" s="352"/>
      <x:c r="S1" s="352"/>
    </x:row>
    <x:row r="2">
      <x:c r="A2" s="352"/>
      <x:c r="B2" s="352"/>
      <x:c r="C2" s="352"/>
      <x:c r="D2" s="352"/>
      <x:c r="E2" s="352"/>
      <x:c r="F2" s="352"/>
      <x:c r="G2" s="352"/>
      <x:c r="H2" s="352"/>
      <x:c r="I2" s="352"/>
      <x:c r="J2" s="352"/>
      <x:c r="K2" s="352"/>
      <x:c r="L2" s="352"/>
      <x:c r="M2" s="352"/>
      <x:c r="N2" s="352"/>
      <x:c r="O2" s="352"/>
      <x:c r="P2" s="352"/>
      <x:c r="Q2" s="352"/>
      <x:c r="R2" s="352"/>
      <x:c r="S2" s="352"/>
    </x:row>
    <x:row r="3">
      <x:c r="A3" s="352"/>
      <x:c r="B3" s="352"/>
      <x:c r="C3" s="352"/>
      <x:c r="D3" s="352"/>
      <x:c r="E3" s="352"/>
      <x:c r="F3" s="352"/>
      <x:c r="G3" s="352"/>
      <x:c r="H3" s="352"/>
      <x:c r="I3" s="352"/>
      <x:c r="J3" s="352"/>
      <x:c r="K3" s="352"/>
      <x:c r="L3" s="352"/>
      <x:c r="M3" s="352"/>
      <x:c r="N3" s="352"/>
      <x:c r="O3" s="352"/>
      <x:c r="P3" s="352"/>
      <x:c r="Q3" s="352"/>
      <x:c r="R3" s="352"/>
      <x:c r="S3" s="352"/>
    </x:row>
    <x:row r="4">
      <x:c r="A4" s="352"/>
      <x:c r="B4" s="352"/>
      <x:c r="C4" s="352"/>
      <x:c r="D4" s="352"/>
      <x:c r="E4" s="352"/>
      <x:c r="F4" s="352"/>
      <x:c r="G4" s="352"/>
      <x:c r="H4" s="352"/>
      <x:c r="I4" s="352"/>
      <x:c r="J4" s="352"/>
      <x:c r="K4" s="352"/>
      <x:c r="L4" s="352"/>
      <x:c r="M4" s="352"/>
      <x:c r="N4" s="352"/>
      <x:c r="O4" s="352"/>
      <x:c r="P4" s="352"/>
      <x:c r="Q4" s="352"/>
      <x:c r="R4" s="352"/>
      <x:c r="S4" s="352"/>
    </x:row>
    <x:row r="5">
      <x:c r="A5" s="352"/>
      <x:c r="B5" s="352"/>
      <x:c r="C5" s="352"/>
      <x:c r="D5" s="352"/>
      <x:c r="E5" s="352"/>
      <x:c r="F5" s="352"/>
      <x:c r="G5" s="352"/>
      <x:c r="H5" s="352"/>
      <x:c r="I5" s="352"/>
      <x:c r="J5" s="352"/>
      <x:c r="K5" s="352"/>
      <x:c r="L5" s="352"/>
      <x:c r="M5" s="352"/>
      <x:c r="N5" s="352"/>
      <x:c r="O5" s="352"/>
      <x:c r="P5" s="352"/>
      <x:c r="Q5" s="352"/>
      <x:c r="R5" s="352"/>
      <x:c r="S5" s="352"/>
    </x:row>
    <x:row r="6" ht="30" customHeight="1">
      <x:c r="A6" s="78" t="str">
        <x:v>ID</x:v>
      </x:c>
      <x:c r="B6" s="78" t="str">
        <x:v>Categoría</x:v>
      </x:c>
      <x:c r="C6" s="78" t="str">
        <x:v>Recurso</x:v>
      </x:c>
      <x:c r="D6" s="78" t="str">
        <x:v>Unidad costo</x:v>
      </x:c>
      <x:c r="E6" s="78" t="str">
        <x:v>n / coeficiente</x:v>
      </x:c>
      <x:c r="F6" s="78" t="str">
        <x:v>Precio unitario</x:v>
      </x:c>
      <x:c r="G6" s="78" t="str">
        <x:v>Ciclo h/u</x:v>
      </x:c>
      <x:c r="H6" s="78" t="str">
        <x:v>Desperdicio %</x:v>
      </x:c>
      <x:c r="I6" s="78" t="str">
        <x:v>Intensidad / consumo unitario</x:v>
      </x:c>
      <x:c r="J6" s="78" t="str">
        <x:v>Unidad intensidad</x:v>
      </x:c>
      <x:c r="K6" s="78" t="str">
        <x:v>Costo exacto/u</x:v>
      </x:c>
      <x:c r="L6" s="78" t="str">
        <x:v>Costo redondeado/u</x:v>
      </x:c>
      <x:c r="M6" s="78" t="str">
        <x:v>Capacidad de flujo u/h</x:v>
      </x:c>
      <x:c r="N6" s="78" t="str">
        <x:v>Productividad u/RH</x:v>
      </x:c>
      <x:c r="O6" s="78" t="str">
        <x:v>Observación</x:v>
      </x:c>
      <x:c r="P6" s="352"/>
      <x:c r="Q6" s="352"/>
      <x:c r="R6" s="352"/>
      <x:c r="S6" s="352"/>
    </x:row>
    <x:row r="7">
      <x:c r="A7" s="392" t="str">
        <x:v>EQ-01</x:v>
      </x:c>
      <x:c r="B7" s="393" t="str">
        <x:v>Equipo</x:v>
      </x:c>
      <x:c r="C7" s="393" t="str">
        <x:v>Herramientas varias</x:v>
      </x:c>
      <x:c r="D7" s="393" t="str">
        <x:v>h</x:v>
      </x:c>
      <x:c r="E7" s="394" t="n">
        <x:v>2</x:v>
      </x:c>
      <x:c r="F7" s="395" t="n">
        <x:v>0.5</x:v>
      </x:c>
      <x:c r="G7" s="394" t="n">
        <x:v>0.02</x:v>
      </x:c>
      <x:c r="H7" s="396" t="n">
        <x:v>0</x:v>
      </x:c>
      <x:c r="I7" s="397" t="n">
        <x:f>IF(B7="Material",E7*(1+H7),E7*G7)</x:f>
        <x:v>0.04</x:v>
      </x:c>
      <x:c r="J7" s="398" t="str">
        <x:v>EH/m²</x:v>
      </x:c>
      <x:c r="K7" s="399" t="n">
        <x:f>I7*F7</x:f>
        <x:v>0.02</x:v>
      </x:c>
      <x:c r="L7" s="400" t="n">
        <x:f>ROUND(K7,2)</x:f>
        <x:v>0.02</x:v>
      </x:c>
      <x:c r="M7" s="401" t="n">
        <x:f>IF(OR(B7="Mano de obra",B7="Equipo"),IFERROR(1/G7,0),"")</x:f>
        <x:v>50</x:v>
      </x:c>
      <x:c r="N7" s="402" t="n">
        <x:f>IF(OR(B7="Mano de obra",B7="Equipo"),IFERROR(1/I7,0),"")</x:f>
        <x:v>25</x:v>
      </x:c>
      <x:c r="O7" s="371" t="str">
        <x:v>2 unidades simultáneas</x:v>
      </x:c>
      <x:c r="P7" s="352"/>
      <x:c r="Q7" s="352"/>
      <x:c r="R7" s="352"/>
      <x:c r="S7" s="352"/>
    </x:row>
    <x:row r="8">
      <x:c r="A8" s="403" t="str">
        <x:v>EQ-02</x:v>
      </x:c>
      <x:c r="B8" s="404" t="str">
        <x:v>Equipo</x:v>
      </x:c>
      <x:c r="C8" s="404" t="str">
        <x:v>Equipo de topografía</x:v>
      </x:c>
      <x:c r="D8" s="404" t="str">
        <x:v>h</x:v>
      </x:c>
      <x:c r="E8" s="405" t="n">
        <x:v>1</x:v>
      </x:c>
      <x:c r="F8" s="406" t="n">
        <x:v>8</x:v>
      </x:c>
      <x:c r="G8" s="405" t="n">
        <x:v>0.02</x:v>
      </x:c>
      <x:c r="H8" s="407" t="n">
        <x:v>0</x:v>
      </x:c>
      <x:c r="I8" s="408" t="n">
        <x:f>IF(B8="Material",E8*(1+H8),E8*G8)</x:f>
        <x:v>0.02</x:v>
      </x:c>
      <x:c r="J8" s="409" t="str">
        <x:v>EH/m²</x:v>
      </x:c>
      <x:c r="K8" s="410" t="n">
        <x:f>I8*F8</x:f>
        <x:v>0.16</x:v>
      </x:c>
      <x:c r="L8" s="411" t="n">
        <x:f>ROUND(K8,2)</x:f>
        <x:v>0.16</x:v>
      </x:c>
      <x:c r="M8" s="412" t="n">
        <x:f>IF(OR(B8="Mano de obra",B8="Equipo"),IFERROR(1/G8,0),"")</x:f>
        <x:v>50</x:v>
      </x:c>
      <x:c r="N8" s="413" t="n">
        <x:f>IF(OR(B8="Mano de obra",B8="Equipo"),IFERROR(1/I8,0),"")</x:f>
        <x:v>50</x:v>
      </x:c>
      <x:c r="O8" s="374" t="str">
        <x:v>1 unidad simultánea</x:v>
      </x:c>
      <x:c r="P8" s="352"/>
      <x:c r="Q8" s="352"/>
      <x:c r="R8" s="352"/>
      <x:c r="S8" s="352"/>
    </x:row>
    <x:row r="9">
      <x:c r="A9" s="403" t="str">
        <x:v>MAT-01</x:v>
      </x:c>
      <x:c r="B9" s="404" t="str">
        <x:v>Material</x:v>
      </x:c>
      <x:c r="C9" s="404" t="str">
        <x:v>Clavos</x:v>
      </x:c>
      <x:c r="D9" s="404" t="str">
        <x:v>kg</x:v>
      </x:c>
      <x:c r="E9" s="405" t="n">
        <x:v>0.02</x:v>
      </x:c>
      <x:c r="F9" s="406" t="n">
        <x:v>1.91</x:v>
      </x:c>
      <x:c r="G9" s="405" t="n">
        <x:v>0</x:v>
      </x:c>
      <x:c r="H9" s="407" t="n">
        <x:v>0</x:v>
      </x:c>
      <x:c r="I9" s="408" t="n">
        <x:f>IF(B9="Material",E9*(1+H9),E9*G9)</x:f>
        <x:v>0.02</x:v>
      </x:c>
      <x:c r="J9" s="409" t="str">
        <x:v>kg/m²</x:v>
      </x:c>
      <x:c r="K9" s="410" t="n">
        <x:f>I9*F9</x:f>
        <x:v>0.0382</x:v>
      </x:c>
      <x:c r="L9" s="411" t="n">
        <x:f>ROUND(K9,2)</x:f>
        <x:v>0.04</x:v>
      </x:c>
      <x:c r="M9" s="412" t="str">
        <x:f>IF(OR(B9="Mano de obra",B9="Equipo"),IFERROR(1/G9,0),"")</x:f>
      </x:c>
      <x:c r="N9" s="413" t="str">
        <x:f>IF(OR(B9="Mano de obra",B9="Equipo"),IFERROR(1/I9,0),"")</x:f>
      </x:c>
      <x:c r="O9" s="374" t="str">
        <x:v>Coeficiente material</x:v>
      </x:c>
      <x:c r="P9" s="352"/>
      <x:c r="Q9" s="352"/>
      <x:c r="R9" s="352"/>
      <x:c r="S9" s="352"/>
    </x:row>
    <x:row r="10">
      <x:c r="A10" s="403" t="str">
        <x:v>MAT-02</x:v>
      </x:c>
      <x:c r="B10" s="404" t="str">
        <x:v>Material</x:v>
      </x:c>
      <x:c r="C10" s="404" t="str">
        <x:v>Tiras de eucalipto 2×2×300 cm</x:v>
      </x:c>
      <x:c r="D10" s="404" t="str">
        <x:v>u</x:v>
      </x:c>
      <x:c r="E10" s="405" t="n">
        <x:v>0.2</x:v>
      </x:c>
      <x:c r="F10" s="406" t="n">
        <x:v>0.86</x:v>
      </x:c>
      <x:c r="G10" s="405" t="n">
        <x:v>0</x:v>
      </x:c>
      <x:c r="H10" s="407" t="n">
        <x:v>0</x:v>
      </x:c>
      <x:c r="I10" s="408" t="n">
        <x:f>IF(B10="Material",E10*(1+H10),E10*G10)</x:f>
        <x:v>0.2</x:v>
      </x:c>
      <x:c r="J10" s="409" t="str">
        <x:v>u/m²</x:v>
      </x:c>
      <x:c r="K10" s="410" t="n">
        <x:f>I10*F10</x:f>
        <x:v>0.17200000000000001</x:v>
      </x:c>
      <x:c r="L10" s="411" t="n">
        <x:f>ROUND(K10,2)</x:f>
        <x:v>0.17</x:v>
      </x:c>
      <x:c r="M10" s="412" t="str">
        <x:f>IF(OR(B10="Mano de obra",B10="Equipo"),IFERROR(1/G10,0),"")</x:f>
      </x:c>
      <x:c r="N10" s="413" t="str">
        <x:f>IF(OR(B10="Mano de obra",B10="Equipo"),IFERROR(1/I10,0),"")</x:f>
      </x:c>
      <x:c r="O10" s="374" t="str">
        <x:v>Coeficiente material</x:v>
      </x:c>
      <x:c r="P10" s="352"/>
      <x:c r="Q10" s="352"/>
      <x:c r="R10" s="352"/>
      <x:c r="S10" s="352"/>
    </x:row>
    <x:row r="11">
      <x:c r="A11" s="403" t="str">
        <x:v>MAT-03</x:v>
      </x:c>
      <x:c r="B11" s="404" t="str">
        <x:v>Material</x:v>
      </x:c>
      <x:c r="C11" s="404" t="str">
        <x:v>Pintura esmalte</x:v>
      </x:c>
      <x:c r="D11" s="404" t="str">
        <x:v>gal</x:v>
      </x:c>
      <x:c r="E11" s="405" t="n">
        <x:v>0.01</x:v>
      </x:c>
      <x:c r="F11" s="406" t="n">
        <x:v>16.93</x:v>
      </x:c>
      <x:c r="G11" s="405" t="n">
        <x:v>0</x:v>
      </x:c>
      <x:c r="H11" s="407" t="n">
        <x:v>0</x:v>
      </x:c>
      <x:c r="I11" s="408" t="n">
        <x:f>IF(B11="Material",E11*(1+H11),E11*G11)</x:f>
        <x:v>0.01</x:v>
      </x:c>
      <x:c r="J11" s="409" t="str">
        <x:v>gal/m²</x:v>
      </x:c>
      <x:c r="K11" s="410" t="n">
        <x:f>I11*F11</x:f>
        <x:v>0.1693</x:v>
      </x:c>
      <x:c r="L11" s="411" t="n">
        <x:f>ROUND(K11,2)</x:f>
        <x:v>0.17</x:v>
      </x:c>
      <x:c r="M11" s="412" t="str">
        <x:f>IF(OR(B11="Mano de obra",B11="Equipo"),IFERROR(1/G11,0),"")</x:f>
      </x:c>
      <x:c r="N11" s="413" t="str">
        <x:f>IF(OR(B11="Mano de obra",B11="Equipo"),IFERROR(1/I11,0),"")</x:f>
      </x:c>
      <x:c r="O11" s="374" t="str">
        <x:v>Coeficiente material</x:v>
      </x:c>
      <x:c r="P11" s="352"/>
      <x:c r="Q11" s="352"/>
      <x:c r="R11" s="352"/>
      <x:c r="S11" s="352"/>
    </x:row>
    <x:row r="12">
      <x:c r="A12" s="403" t="str">
        <x:v>MO-01</x:v>
      </x:c>
      <x:c r="B12" s="404" t="str">
        <x:v>Mano de obra</x:v>
      </x:c>
      <x:c r="C12" s="404" t="str">
        <x:v>Peón</x:v>
      </x:c>
      <x:c r="D12" s="404" t="str">
        <x:v>h</x:v>
      </x:c>
      <x:c r="E12" s="405" t="n">
        <x:v>2</x:v>
      </x:c>
      <x:c r="F12" s="406" t="n">
        <x:v>4.23</x:v>
      </x:c>
      <x:c r="G12" s="405" t="n">
        <x:v>0.02</x:v>
      </x:c>
      <x:c r="H12" s="407" t="n">
        <x:v>0</x:v>
      </x:c>
      <x:c r="I12" s="408" t="n">
        <x:f>IF(B12="Material",E12*(1+H12),E12*G12)</x:f>
        <x:v>0.04</x:v>
      </x:c>
      <x:c r="J12" s="409" t="str">
        <x:v>HH/m²</x:v>
      </x:c>
      <x:c r="K12" s="410" t="n">
        <x:f>I12*F12</x:f>
        <x:v>0.16920000000000002</x:v>
      </x:c>
      <x:c r="L12" s="411" t="n">
        <x:f>ROUND(K12,2)</x:f>
        <x:v>0.17</x:v>
      </x:c>
      <x:c r="M12" s="412" t="n">
        <x:f>IF(OR(B12="Mano de obra",B12="Equipo"),IFERROR(1/G12,0),"")</x:f>
        <x:v>50</x:v>
      </x:c>
      <x:c r="N12" s="413" t="n">
        <x:f>IF(OR(B12="Mano de obra",B12="Equipo"),IFERROR(1/I12,0),"")</x:f>
        <x:v>25</x:v>
      </x:c>
      <x:c r="O12" s="374" t="str">
        <x:v>Ciclo gobernante</x:v>
      </x:c>
      <x:c r="P12" s="352"/>
      <x:c r="Q12" s="352"/>
      <x:c r="R12" s="352"/>
      <x:c r="S12" s="352"/>
    </x:row>
    <x:row r="13">
      <x:c r="A13" s="403" t="str">
        <x:v>MO-02</x:v>
      </x:c>
      <x:c r="B13" s="404" t="str">
        <x:v>Mano de obra</x:v>
      </x:c>
      <x:c r="C13" s="404" t="str">
        <x:v>Topógrafo</x:v>
      </x:c>
      <x:c r="D13" s="404" t="str">
        <x:v>h</x:v>
      </x:c>
      <x:c r="E13" s="405" t="n">
        <x:v>1</x:v>
      </x:c>
      <x:c r="F13" s="406" t="n">
        <x:v>4.75</x:v>
      </x:c>
      <x:c r="G13" s="405" t="n">
        <x:v>0.02</x:v>
      </x:c>
      <x:c r="H13" s="407" t="n">
        <x:v>0</x:v>
      </x:c>
      <x:c r="I13" s="408" t="n">
        <x:f>IF(B13="Material",E13*(1+H13),E13*G13)</x:f>
        <x:v>0.02</x:v>
      </x:c>
      <x:c r="J13" s="409" t="str">
        <x:v>HH/m²</x:v>
      </x:c>
      <x:c r="K13" s="410" t="n">
        <x:f>I13*F13</x:f>
        <x:v>0.095</x:v>
      </x:c>
      <x:c r="L13" s="411" t="n">
        <x:f>ROUND(K13,2)</x:f>
        <x:v>0.1</x:v>
      </x:c>
      <x:c r="M13" s="412" t="n">
        <x:f>IF(OR(B13="Mano de obra",B13="Equipo"),IFERROR(1/G13,0),"")</x:f>
        <x:v>50</x:v>
      </x:c>
      <x:c r="N13" s="413" t="n">
        <x:f>IF(OR(B13="Mano de obra",B13="Equipo"),IFERROR(1/I13,0),"")</x:f>
        <x:v>50</x:v>
      </x:c>
      <x:c r="O13" s="374" t="str">
        <x:v>Ciclo cogobernante</x:v>
      </x:c>
      <x:c r="P13" s="352"/>
      <x:c r="Q13" s="352"/>
      <x:c r="R13" s="352"/>
      <x:c r="S13" s="352"/>
    </x:row>
    <x:row r="14">
      <x:c r="A14" s="414" t="str">
        <x:v>MO-03</x:v>
      </x:c>
      <x:c r="B14" s="415" t="str">
        <x:v>Mano de obra</x:v>
      </x:c>
      <x:c r="C14" s="415" t="str">
        <x:v>Maestro mayor</x:v>
      </x:c>
      <x:c r="D14" s="415" t="str">
        <x:v>h</x:v>
      </x:c>
      <x:c r="E14" s="416" t="n">
        <x:v>1</x:v>
      </x:c>
      <x:c r="F14" s="417" t="n">
        <x:v>4.75</x:v>
      </x:c>
      <x:c r="G14" s="416" t="n">
        <x:v>0.006</x:v>
      </x:c>
      <x:c r="H14" s="418" t="n">
        <x:v>0</x:v>
      </x:c>
      <x:c r="I14" s="419" t="n">
        <x:f>IF(B14="Material",E14*(1+H14),E14*G14)</x:f>
        <x:v>0.006</x:v>
      </x:c>
      <x:c r="J14" s="420" t="str">
        <x:v>HH/m²</x:v>
      </x:c>
      <x:c r="K14" s="421" t="n">
        <x:f>I14*F14</x:f>
        <x:v>0.0285</x:v>
      </x:c>
      <x:c r="L14" s="422" t="n">
        <x:f>ROUND(K14,2)</x:f>
        <x:v>0.03</x:v>
      </x:c>
      <x:c r="M14" s="423" t="n">
        <x:f>IF(OR(B14="Mano de obra",B14="Equipo"),IFERROR(1/G14,0),"")</x:f>
        <x:v>166.66666666666666</x:v>
      </x:c>
      <x:c r="N14" s="424" t="n">
        <x:f>IF(OR(B14="Mano de obra",B14="Equipo"),IFERROR(1/I14,0),"")</x:f>
        <x:v>166.66666666666666</x:v>
      </x:c>
      <x:c r="O14" s="425" t="str">
        <x:v>Participación parcial</x:v>
      </x:c>
      <x:c r="P14" s="352"/>
      <x:c r="Q14" s="352"/>
      <x:c r="R14" s="352"/>
      <x:c r="S14" s="352"/>
    </x:row>
    <x:row r="15">
      <x:c r="A15" s="352"/>
      <x:c r="B15" s="352"/>
      <x:c r="C15" s="352"/>
      <x:c r="D15" s="352"/>
      <x:c r="E15" s="352"/>
      <x:c r="F15" s="352"/>
      <x:c r="G15" s="352"/>
      <x:c r="H15" s="352"/>
      <x:c r="I15" s="352"/>
      <x:c r="J15" s="352"/>
      <x:c r="K15" s="352"/>
      <x:c r="L15" s="352"/>
      <x:c r="M15" s="352"/>
      <x:c r="N15" s="352"/>
      <x:c r="O15" s="352"/>
      <x:c r="P15" s="352"/>
      <x:c r="Q15" s="352"/>
      <x:c r="R15" s="352"/>
      <x:c r="S15" s="352"/>
    </x:row>
    <x:row r="16">
      <x:c r="A16" s="352"/>
      <x:c r="B16" s="352"/>
      <x:c r="C16" s="352"/>
      <x:c r="D16" s="352"/>
      <x:c r="E16" s="352"/>
      <x:c r="F16" s="352"/>
      <x:c r="G16" s="352"/>
      <x:c r="H16" s="352"/>
      <x:c r="I16" s="352"/>
      <x:c r="J16" s="352"/>
      <x:c r="K16" s="352"/>
      <x:c r="L16" s="352"/>
      <x:c r="M16" s="352"/>
      <x:c r="N16" s="352"/>
      <x:c r="O16" s="352"/>
      <x:c r="P16" s="352"/>
      <x:c r="Q16" s="352"/>
      <x:c r="R16" s="352"/>
      <x:c r="S16" s="352"/>
    </x:row>
    <x:row r="17" ht="22" customHeight="1">
      <x:c r="A17" s="21" t="str">
        <x:v>RESUMEN ECONÓMICO DEL APU</x:v>
      </x:c>
      <x:c r="B17" s="352"/>
      <x:c r="C17" s="352"/>
      <x:c r="D17" s="352"/>
      <x:c r="E17" s="352"/>
      <x:c r="F17" s="352"/>
      <x:c r="G17" s="352"/>
      <x:c r="H17" s="352"/>
      <x:c r="I17" s="352"/>
      <x:c r="J17" s="352"/>
      <x:c r="K17" s="352"/>
      <x:c r="L17" s="352"/>
      <x:c r="M17" s="352"/>
      <x:c r="N17" s="352"/>
      <x:c r="O17" s="352"/>
      <x:c r="P17" s="352"/>
      <x:c r="Q17" s="352"/>
      <x:c r="R17" s="352"/>
      <x:c r="S17" s="352"/>
    </x:row>
    <x:row r="18" ht="30" customHeight="1">
      <x:c r="A18" s="78" t="str">
        <x:v>Categoría</x:v>
      </x:c>
      <x:c r="B18" s="78" t="str">
        <x:v>Costo exacto/u</x:v>
      </x:c>
      <x:c r="C18" s="78" t="str">
        <x:v>Costo redondeado/u</x:v>
      </x:c>
      <x:c r="D18" s="78" t="str">
        <x:v>Diferencia</x:v>
      </x:c>
      <x:c r="E18" s="352"/>
      <x:c r="F18" s="352"/>
      <x:c r="G18" s="352"/>
      <x:c r="H18" s="352"/>
      <x:c r="I18" s="352"/>
      <x:c r="J18" s="352"/>
      <x:c r="K18" s="352"/>
      <x:c r="L18" s="352"/>
      <x:c r="M18" s="352"/>
      <x:c r="N18" s="352"/>
      <x:c r="O18" s="352"/>
      <x:c r="P18" s="352"/>
      <x:c r="Q18" s="352"/>
      <x:c r="R18" s="352"/>
      <x:c r="S18" s="352"/>
    </x:row>
    <x:row r="19">
      <x:c r="A19" s="352" t="str">
        <x:v>Equipo</x:v>
      </x:c>
      <x:c r="B19" s="426" t="n">
        <x:f>SUMIF($B$7:$B$14,"Equipo",$K$7:$K$14)</x:f>
        <x:v>0.18</x:v>
      </x:c>
      <x:c r="C19" s="399" t="n">
        <x:f>SUMIF($B$7:$B$14,"Equipo",$L$7:$L$14)</x:f>
        <x:v>0.18</x:v>
      </x:c>
      <x:c r="D19" s="427" t="n">
        <x:f>C19-B19</x:f>
        <x:v>0</x:v>
      </x:c>
      <x:c r="E19" s="352"/>
      <x:c r="F19" s="352"/>
      <x:c r="G19" s="352"/>
      <x:c r="H19" s="352"/>
      <x:c r="I19" s="352"/>
      <x:c r="J19" s="352"/>
      <x:c r="K19" s="352"/>
      <x:c r="L19" s="352"/>
      <x:c r="M19" s="352"/>
      <x:c r="N19" s="352"/>
      <x:c r="O19" s="352"/>
      <x:c r="P19" s="352"/>
      <x:c r="Q19" s="352"/>
      <x:c r="R19" s="352"/>
      <x:c r="S19" s="352"/>
    </x:row>
    <x:row r="20">
      <x:c r="A20" s="352" t="str">
        <x:v>Material</x:v>
      </x:c>
      <x:c r="B20" s="428" t="n">
        <x:f>SUMIF($B$7:$B$14,"Material",$K$7:$K$14)</x:f>
        <x:v>0.3795</x:v>
      </x:c>
      <x:c r="C20" s="410" t="n">
        <x:f>SUMIF($B$7:$B$14,"Material",$L$7:$L$14)</x:f>
        <x:v>0.38</x:v>
      </x:c>
      <x:c r="D20" s="429" t="n">
        <x:f>C20-B20</x:f>
        <x:v>0.0005000000000000004</x:v>
      </x:c>
      <x:c r="E20" s="352"/>
      <x:c r="F20" s="352"/>
      <x:c r="G20" s="352"/>
      <x:c r="H20" s="352"/>
      <x:c r="I20" s="352"/>
      <x:c r="J20" s="352"/>
      <x:c r="K20" s="352"/>
      <x:c r="L20" s="352"/>
      <x:c r="M20" s="352"/>
      <x:c r="N20" s="352"/>
      <x:c r="O20" s="352"/>
      <x:c r="P20" s="352"/>
      <x:c r="Q20" s="352"/>
      <x:c r="R20" s="352"/>
      <x:c r="S20" s="352"/>
    </x:row>
    <x:row r="21">
      <x:c r="A21" s="352" t="str">
        <x:v>Mano de obra</x:v>
      </x:c>
      <x:c r="B21" s="428" t="n">
        <x:f>SUMIF($B$7:$B$14,"Mano de obra",$K$7:$K$14)</x:f>
        <x:v>0.2927</x:v>
      </x:c>
      <x:c r="C21" s="410" t="n">
        <x:f>SUMIF($B$7:$B$14,"Mano de obra",$L$7:$L$14)</x:f>
        <x:v>0.30000000000000004</x:v>
      </x:c>
      <x:c r="D21" s="429" t="n">
        <x:f>C21-B21</x:f>
        <x:v>0.007300000000000029</x:v>
      </x:c>
      <x:c r="E21" s="352"/>
      <x:c r="F21" s="352"/>
      <x:c r="G21" s="352"/>
      <x:c r="H21" s="352"/>
      <x:c r="I21" s="352"/>
      <x:c r="J21" s="352"/>
      <x:c r="K21" s="352"/>
      <x:c r="L21" s="352"/>
      <x:c r="M21" s="352"/>
      <x:c r="N21" s="352"/>
      <x:c r="O21" s="352"/>
      <x:c r="P21" s="352"/>
      <x:c r="Q21" s="352"/>
      <x:c r="R21" s="352"/>
      <x:c r="S21" s="352"/>
    </x:row>
    <x:row r="22">
      <x:c r="A22" s="352" t="str">
        <x:v>Costo directo</x:v>
      </x:c>
      <x:c r="B22" s="428" t="n">
        <x:f>SUM(B19:B21)</x:f>
        <x:v>0.8522000000000001</x:v>
      </x:c>
      <x:c r="C22" s="410" t="n">
        <x:f>SUM(C19:C21)</x:f>
        <x:v>0.8600000000000001</x:v>
      </x:c>
      <x:c r="D22" s="429" t="n">
        <x:f>C22-B22</x:f>
        <x:v>0.007800000000000029</x:v>
      </x:c>
      <x:c r="E22" s="352"/>
      <x:c r="F22" s="352"/>
      <x:c r="G22" s="352"/>
      <x:c r="H22" s="352"/>
      <x:c r="I22" s="352"/>
      <x:c r="J22" s="352"/>
      <x:c r="K22" s="352"/>
      <x:c r="L22" s="352"/>
      <x:c r="M22" s="352"/>
      <x:c r="N22" s="352"/>
      <x:c r="O22" s="352"/>
      <x:c r="P22" s="352"/>
      <x:c r="Q22" s="352"/>
      <x:c r="R22" s="352"/>
      <x:c r="S22" s="352"/>
    </x:row>
    <x:row r="23">
      <x:c r="A23" s="352" t="str">
        <x:v>Impacto de redondeo</x:v>
      </x:c>
      <x:c r="B23" s="430" t="n">
        <x:f>D22</x:f>
        <x:v>0.007800000000000029</x:v>
      </x:c>
      <x:c r="C23" s="421" t="n">
        <x:f>D22</x:f>
        <x:v>0.007800000000000029</x:v>
      </x:c>
      <x:c r="D23" s="431" t="n">
        <x:f>D22</x:f>
        <x:v>0.007800000000000029</x:v>
      </x:c>
      <x:c r="E23" s="352"/>
      <x:c r="F23" s="352"/>
      <x:c r="G23" s="352"/>
      <x:c r="H23" s="352"/>
      <x:c r="I23" s="352"/>
      <x:c r="J23" s="352"/>
      <x:c r="K23" s="352"/>
      <x:c r="L23" s="352"/>
      <x:c r="M23" s="352"/>
      <x:c r="N23" s="352"/>
      <x:c r="O23" s="352"/>
      <x:c r="P23" s="352"/>
      <x:c r="Q23" s="352"/>
      <x:c r="R23" s="352"/>
      <x:c r="S23" s="352"/>
    </x:row>
    <x:row r="24">
      <x:c r="A24" s="352"/>
      <x:c r="B24" s="352"/>
      <x:c r="C24" s="352"/>
      <x:c r="D24" s="352"/>
      <x:c r="E24" s="352"/>
      <x:c r="F24" s="352"/>
      <x:c r="G24" s="352"/>
      <x:c r="H24" s="352"/>
      <x:c r="I24" s="352"/>
      <x:c r="J24" s="352"/>
      <x:c r="K24" s="352"/>
      <x:c r="L24" s="352"/>
      <x:c r="M24" s="352"/>
      <x:c r="N24" s="352"/>
      <x:c r="O24" s="352"/>
      <x:c r="P24" s="352"/>
      <x:c r="Q24" s="352"/>
      <x:c r="R24" s="352"/>
      <x:c r="S24" s="352"/>
    </x:row>
    <x:row r="25">
      <x:c r="A25" s="352"/>
      <x:c r="B25" s="352"/>
      <x:c r="C25" s="352"/>
      <x:c r="D25" s="352"/>
      <x:c r="E25" s="352"/>
      <x:c r="F25" s="352"/>
      <x:c r="G25" s="352"/>
      <x:c r="H25" s="352"/>
      <x:c r="I25" s="352"/>
      <x:c r="J25" s="352"/>
      <x:c r="K25" s="352"/>
      <x:c r="L25" s="352"/>
      <x:c r="M25" s="352"/>
      <x:c r="N25" s="352"/>
      <x:c r="O25" s="352"/>
      <x:c r="P25" s="352"/>
      <x:c r="Q25" s="352"/>
      <x:c r="R25" s="352"/>
      <x:c r="S25" s="352"/>
    </x:row>
    <x:row r="26">
      <x:c r="A26" s="352"/>
      <x:c r="B26" s="352"/>
      <x:c r="C26" s="352"/>
      <x:c r="D26" s="352"/>
      <x:c r="E26" s="352"/>
      <x:c r="F26" s="352"/>
      <x:c r="G26" s="352"/>
      <x:c r="H26" s="352"/>
      <x:c r="I26" s="352"/>
      <x:c r="J26" s="352"/>
      <x:c r="K26" s="352"/>
      <x:c r="L26" s="352"/>
      <x:c r="M26" s="352"/>
      <x:c r="N26" s="352"/>
      <x:c r="O26" s="352"/>
      <x:c r="P26" s="352"/>
      <x:c r="Q26" s="352"/>
      <x:c r="R26" s="352"/>
      <x:c r="S26" s="352"/>
    </x:row>
    <x:row r="27">
      <x:c r="A27" s="352"/>
      <x:c r="B27" s="352"/>
      <x:c r="C27" s="352"/>
      <x:c r="D27" s="352"/>
      <x:c r="E27" s="352"/>
      <x:c r="F27" s="352"/>
      <x:c r="G27" s="352"/>
      <x:c r="H27" s="352"/>
      <x:c r="I27" s="352"/>
      <x:c r="J27" s="352"/>
      <x:c r="K27" s="352"/>
      <x:c r="L27" s="352"/>
      <x:c r="M27" s="352"/>
      <x:c r="N27" s="352"/>
      <x:c r="O27" s="352"/>
      <x:c r="P27" s="352"/>
      <x:c r="Q27" s="352"/>
      <x:c r="R27" s="352"/>
      <x:c r="S27" s="352"/>
    </x:row>
    <x:row r="28">
      <x:c r="A28" s="352"/>
      <x:c r="B28" s="352"/>
      <x:c r="C28" s="352"/>
      <x:c r="D28" s="352"/>
      <x:c r="E28" s="352"/>
      <x:c r="F28" s="352"/>
      <x:c r="G28" s="352"/>
      <x:c r="H28" s="352"/>
      <x:c r="I28" s="352"/>
      <x:c r="J28" s="352"/>
      <x:c r="K28" s="352"/>
      <x:c r="L28" s="352"/>
      <x:c r="M28" s="352"/>
      <x:c r="N28" s="352"/>
      <x:c r="O28" s="352"/>
      <x:c r="P28" s="352"/>
      <x:c r="Q28" s="352"/>
      <x:c r="R28" s="352"/>
      <x:c r="S28" s="352"/>
    </x:row>
    <x:row r="29">
      <x:c r="A29" s="352"/>
      <x:c r="B29" s="352"/>
      <x:c r="C29" s="352"/>
      <x:c r="D29" s="352"/>
      <x:c r="E29" s="352"/>
      <x:c r="F29" s="352"/>
      <x:c r="G29" s="352"/>
      <x:c r="H29" s="352"/>
      <x:c r="I29" s="352"/>
      <x:c r="J29" s="352"/>
      <x:c r="K29" s="352"/>
      <x:c r="L29" s="352"/>
      <x:c r="M29" s="352"/>
      <x:c r="N29" s="352"/>
      <x:c r="O29" s="352"/>
      <x:c r="P29" s="352"/>
      <x:c r="Q29" s="352"/>
      <x:c r="R29" s="352"/>
      <x:c r="S29" s="352"/>
    </x:row>
    <x:row r="30">
      <x:c r="A30" s="352"/>
      <x:c r="B30" s="352"/>
      <x:c r="C30" s="352"/>
      <x:c r="D30" s="352"/>
      <x:c r="E30" s="352"/>
      <x:c r="F30" s="352"/>
      <x:c r="G30" s="352"/>
      <x:c r="H30" s="352"/>
      <x:c r="I30" s="352"/>
      <x:c r="J30" s="352"/>
      <x:c r="K30" s="352"/>
      <x:c r="L30" s="352"/>
      <x:c r="M30" s="352"/>
      <x:c r="N30" s="352"/>
      <x:c r="O30" s="352"/>
      <x:c r="P30" s="352"/>
      <x:c r="Q30" s="352"/>
      <x:c r="R30" s="352"/>
      <x:c r="S30" s="352"/>
    </x:row>
    <x:row r="31">
      <x:c r="A31" s="352"/>
      <x:c r="B31" s="352"/>
      <x:c r="C31" s="352"/>
      <x:c r="D31" s="352"/>
      <x:c r="E31" s="352"/>
      <x:c r="F31" s="352"/>
      <x:c r="G31" s="352"/>
      <x:c r="H31" s="352"/>
      <x:c r="I31" s="352"/>
      <x:c r="J31" s="352"/>
      <x:c r="K31" s="352"/>
      <x:c r="L31" s="352"/>
      <x:c r="M31" s="352"/>
      <x:c r="N31" s="352"/>
      <x:c r="O31" s="352"/>
      <x:c r="P31" s="352"/>
      <x:c r="Q31" s="352"/>
      <x:c r="R31" s="352"/>
      <x:c r="S31" s="352"/>
    </x:row>
    <x:row r="32">
      <x:c r="A32" s="352"/>
      <x:c r="B32" s="352"/>
      <x:c r="C32" s="352"/>
      <x:c r="D32" s="352"/>
      <x:c r="E32" s="352"/>
      <x:c r="F32" s="352"/>
      <x:c r="G32" s="352"/>
      <x:c r="H32" s="352"/>
      <x:c r="I32" s="352"/>
      <x:c r="J32" s="352"/>
      <x:c r="K32" s="352"/>
      <x:c r="L32" s="352"/>
      <x:c r="M32" s="352"/>
      <x:c r="N32" s="352"/>
      <x:c r="O32" s="352"/>
      <x:c r="P32" s="352"/>
      <x:c r="Q32" s="352"/>
      <x:c r="R32" s="352"/>
      <x:c r="S32" s="352"/>
    </x:row>
    <x:row r="33">
      <x:c r="A33" s="352"/>
      <x:c r="B33" s="352"/>
      <x:c r="C33" s="352"/>
      <x:c r="D33" s="352"/>
      <x:c r="E33" s="352"/>
      <x:c r="F33" s="352"/>
      <x:c r="G33" s="352"/>
      <x:c r="H33" s="352"/>
      <x:c r="I33" s="352"/>
      <x:c r="J33" s="352"/>
      <x:c r="K33" s="352"/>
      <x:c r="L33" s="352"/>
      <x:c r="M33" s="352"/>
      <x:c r="N33" s="352"/>
      <x:c r="O33" s="352"/>
      <x:c r="P33" s="352"/>
      <x:c r="Q33" s="352"/>
      <x:c r="R33" s="352"/>
      <x:c r="S33" s="352"/>
    </x:row>
    <x:row r="34">
      <x:c r="A34" s="352"/>
      <x:c r="B34" s="352"/>
      <x:c r="C34" s="352"/>
      <x:c r="D34" s="352"/>
      <x:c r="E34" s="352"/>
      <x:c r="F34" s="352"/>
      <x:c r="G34" s="352"/>
      <x:c r="H34" s="352"/>
      <x:c r="I34" s="352"/>
      <x:c r="J34" s="352"/>
      <x:c r="K34" s="352"/>
      <x:c r="L34" s="352"/>
      <x:c r="M34" s="352"/>
      <x:c r="N34" s="352"/>
      <x:c r="O34" s="352"/>
      <x:c r="P34" s="352"/>
      <x:c r="Q34" s="352"/>
      <x:c r="R34" s="352"/>
      <x:c r="S34" s="352"/>
    </x:row>
    <x:row r="35">
      <x:c r="A35" s="352"/>
      <x:c r="B35" s="352"/>
      <x:c r="C35" s="352"/>
      <x:c r="D35" s="352"/>
      <x:c r="E35" s="352"/>
      <x:c r="F35" s="352"/>
      <x:c r="G35" s="352"/>
      <x:c r="H35" s="352"/>
      <x:c r="I35" s="352"/>
      <x:c r="J35" s="352"/>
      <x:c r="K35" s="352"/>
      <x:c r="L35" s="352"/>
      <x:c r="M35" s="352"/>
      <x:c r="N35" s="352"/>
      <x:c r="O35" s="352"/>
      <x:c r="P35" s="352"/>
      <x:c r="Q35" s="352"/>
      <x:c r="R35" s="352"/>
      <x:c r="S35" s="352"/>
    </x:row>
    <x:row r="36">
      <x:c r="A36" s="352"/>
      <x:c r="B36" s="352"/>
      <x:c r="C36" s="352"/>
      <x:c r="D36" s="352"/>
      <x:c r="E36" s="352"/>
      <x:c r="F36" s="352"/>
      <x:c r="G36" s="352"/>
      <x:c r="H36" s="352"/>
      <x:c r="I36" s="352"/>
      <x:c r="J36" s="352"/>
      <x:c r="K36" s="352"/>
      <x:c r="L36" s="352"/>
      <x:c r="M36" s="352"/>
      <x:c r="N36" s="352"/>
      <x:c r="O36" s="352"/>
      <x:c r="P36" s="352"/>
      <x:c r="Q36" s="352"/>
      <x:c r="R36" s="352"/>
      <x:c r="S36" s="352"/>
    </x:row>
    <x:row r="37">
      <x:c r="A37" s="352"/>
      <x:c r="B37" s="352"/>
      <x:c r="C37" s="352"/>
      <x:c r="D37" s="352"/>
      <x:c r="E37" s="352"/>
      <x:c r="F37" s="352"/>
      <x:c r="G37" s="352"/>
      <x:c r="H37" s="352"/>
      <x:c r="I37" s="352"/>
      <x:c r="J37" s="352"/>
      <x:c r="K37" s="352"/>
      <x:c r="L37" s="352"/>
      <x:c r="M37" s="352"/>
      <x:c r="N37" s="352"/>
      <x:c r="O37" s="352"/>
      <x:c r="P37" s="352"/>
      <x:c r="Q37" s="352"/>
      <x:c r="R37" s="352"/>
      <x:c r="S37" s="352"/>
    </x:row>
    <x:row r="38">
      <x:c r="A38" s="352"/>
      <x:c r="B38" s="352"/>
      <x:c r="C38" s="352"/>
      <x:c r="D38" s="352"/>
      <x:c r="E38" s="352"/>
      <x:c r="F38" s="352"/>
      <x:c r="G38" s="352"/>
      <x:c r="H38" s="352"/>
      <x:c r="I38" s="352"/>
      <x:c r="J38" s="352"/>
      <x:c r="K38" s="352"/>
      <x:c r="L38" s="352"/>
      <x:c r="M38" s="352"/>
      <x:c r="N38" s="352"/>
      <x:c r="O38" s="352"/>
      <x:c r="P38" s="352"/>
      <x:c r="Q38" s="352"/>
      <x:c r="R38" s="352"/>
      <x:c r="S38" s="352"/>
    </x:row>
    <x:row r="39">
      <x:c r="A39" s="352"/>
      <x:c r="B39" s="352"/>
      <x:c r="C39" s="352"/>
      <x:c r="D39" s="352"/>
      <x:c r="E39" s="352"/>
      <x:c r="F39" s="352"/>
      <x:c r="G39" s="352"/>
      <x:c r="H39" s="352"/>
      <x:c r="I39" s="352"/>
      <x:c r="J39" s="352"/>
      <x:c r="K39" s="352"/>
      <x:c r="L39" s="352"/>
      <x:c r="M39" s="352"/>
      <x:c r="N39" s="352"/>
      <x:c r="O39" s="352"/>
      <x:c r="P39" s="352"/>
      <x:c r="Q39" s="352"/>
      <x:c r="R39" s="352"/>
      <x:c r="S39" s="352"/>
    </x:row>
    <x:row r="40">
      <x:c r="A40" s="352"/>
      <x:c r="B40" s="352"/>
      <x:c r="C40" s="352"/>
      <x:c r="D40" s="352"/>
      <x:c r="E40" s="352"/>
      <x:c r="F40" s="352"/>
      <x:c r="G40" s="352"/>
      <x:c r="H40" s="352"/>
      <x:c r="I40" s="352"/>
      <x:c r="J40" s="352"/>
      <x:c r="K40" s="352"/>
      <x:c r="L40" s="352"/>
      <x:c r="M40" s="352"/>
      <x:c r="N40" s="352"/>
      <x:c r="O40" s="352"/>
      <x:c r="P40" s="352"/>
      <x:c r="Q40" s="352"/>
      <x:c r="R40" s="352"/>
      <x:c r="S40" s="352"/>
    </x:row>
    <x:row r="41">
      <x:c r="A41" s="352"/>
      <x:c r="B41" s="352"/>
      <x:c r="C41" s="352"/>
      <x:c r="D41" s="352"/>
      <x:c r="E41" s="352"/>
      <x:c r="F41" s="352"/>
      <x:c r="G41" s="352"/>
      <x:c r="H41" s="352"/>
      <x:c r="I41" s="352"/>
      <x:c r="J41" s="352"/>
      <x:c r="K41" s="352"/>
      <x:c r="L41" s="352"/>
      <x:c r="M41" s="352"/>
      <x:c r="N41" s="352"/>
      <x:c r="O41" s="352"/>
      <x:c r="P41" s="352"/>
      <x:c r="Q41" s="352"/>
      <x:c r="R41" s="352"/>
      <x:c r="S41" s="352"/>
    </x:row>
    <x:row r="42">
      <x:c r="A42" s="352"/>
      <x:c r="B42" s="352"/>
      <x:c r="C42" s="352"/>
      <x:c r="D42" s="352"/>
      <x:c r="E42" s="352"/>
      <x:c r="F42" s="352"/>
      <x:c r="G42" s="352"/>
      <x:c r="H42" s="352"/>
      <x:c r="I42" s="352"/>
      <x:c r="J42" s="352"/>
      <x:c r="K42" s="352"/>
      <x:c r="L42" s="352"/>
      <x:c r="M42" s="352"/>
      <x:c r="N42" s="352"/>
      <x:c r="O42" s="352"/>
      <x:c r="P42" s="352"/>
      <x:c r="Q42" s="352"/>
      <x:c r="R42" s="352"/>
      <x:c r="S42" s="352"/>
    </x:row>
    <x:row r="43">
      <x:c r="A43" s="352"/>
      <x:c r="B43" s="352"/>
      <x:c r="C43" s="352"/>
      <x:c r="D43" s="352"/>
      <x:c r="E43" s="352"/>
      <x:c r="F43" s="352"/>
      <x:c r="G43" s="352"/>
      <x:c r="H43" s="352"/>
      <x:c r="I43" s="352"/>
      <x:c r="J43" s="352"/>
      <x:c r="K43" s="352"/>
      <x:c r="L43" s="352"/>
      <x:c r="M43" s="352"/>
      <x:c r="N43" s="352"/>
      <x:c r="O43" s="352"/>
      <x:c r="P43" s="352"/>
      <x:c r="Q43" s="352"/>
      <x:c r="R43" s="352"/>
      <x:c r="S43" s="352"/>
    </x:row>
    <x:row r="44">
      <x:c r="A44" s="352"/>
      <x:c r="B44" s="352"/>
      <x:c r="C44" s="352"/>
      <x:c r="D44" s="352"/>
      <x:c r="E44" s="352"/>
      <x:c r="F44" s="352"/>
      <x:c r="G44" s="352"/>
      <x:c r="H44" s="352"/>
      <x:c r="I44" s="352"/>
      <x:c r="J44" s="352"/>
      <x:c r="K44" s="352"/>
      <x:c r="L44" s="352"/>
      <x:c r="M44" s="352"/>
      <x:c r="N44" s="352"/>
      <x:c r="O44" s="352"/>
      <x:c r="P44" s="352"/>
      <x:c r="Q44" s="352"/>
      <x:c r="R44" s="352"/>
      <x:c r="S44" s="352"/>
    </x:row>
    <x:row r="45">
      <x:c r="A45" s="352"/>
      <x:c r="B45" s="352"/>
      <x:c r="C45" s="352"/>
      <x:c r="D45" s="352"/>
      <x:c r="E45" s="352"/>
      <x:c r="F45" s="352"/>
      <x:c r="G45" s="352"/>
      <x:c r="H45" s="352"/>
      <x:c r="I45" s="352"/>
      <x:c r="J45" s="352"/>
      <x:c r="K45" s="352"/>
      <x:c r="L45" s="352"/>
      <x:c r="M45" s="352"/>
      <x:c r="N45" s="352"/>
      <x:c r="O45" s="352"/>
      <x:c r="P45" s="352"/>
      <x:c r="Q45" s="352"/>
      <x:c r="R45" s="352"/>
      <x:c r="S45" s="352"/>
    </x:row>
    <x:row r="46">
      <x:c r="A46" s="352"/>
      <x:c r="B46" s="352"/>
      <x:c r="C46" s="352"/>
      <x:c r="D46" s="352"/>
      <x:c r="E46" s="352"/>
      <x:c r="F46" s="352"/>
      <x:c r="G46" s="352"/>
      <x:c r="H46" s="352"/>
      <x:c r="I46" s="352"/>
      <x:c r="J46" s="352"/>
      <x:c r="K46" s="352"/>
      <x:c r="L46" s="352"/>
      <x:c r="M46" s="352"/>
      <x:c r="N46" s="352"/>
      <x:c r="O46" s="352"/>
      <x:c r="P46" s="352"/>
      <x:c r="Q46" s="352"/>
      <x:c r="R46" s="352"/>
      <x:c r="S46" s="352"/>
    </x:row>
    <x:row r="47">
      <x:c r="A47" s="352"/>
      <x:c r="B47" s="352"/>
      <x:c r="C47" s="352"/>
      <x:c r="D47" s="352"/>
      <x:c r="E47" s="352"/>
      <x:c r="F47" s="352"/>
      <x:c r="G47" s="352"/>
      <x:c r="H47" s="352"/>
      <x:c r="I47" s="352"/>
      <x:c r="J47" s="352"/>
      <x:c r="K47" s="352"/>
      <x:c r="L47" s="352"/>
      <x:c r="M47" s="352"/>
      <x:c r="N47" s="352"/>
      <x:c r="O47" s="352"/>
      <x:c r="P47" s="352"/>
      <x:c r="Q47" s="352"/>
      <x:c r="R47" s="352"/>
      <x:c r="S47" s="352"/>
    </x:row>
    <x:row r="48">
      <x:c r="A48" s="352"/>
      <x:c r="B48" s="352"/>
      <x:c r="C48" s="352"/>
      <x:c r="D48" s="352"/>
      <x:c r="E48" s="352"/>
      <x:c r="F48" s="352"/>
      <x:c r="G48" s="352"/>
      <x:c r="H48" s="352"/>
      <x:c r="I48" s="352"/>
      <x:c r="J48" s="352"/>
      <x:c r="K48" s="352"/>
      <x:c r="L48" s="352"/>
      <x:c r="M48" s="352"/>
      <x:c r="N48" s="352"/>
      <x:c r="O48" s="352"/>
      <x:c r="P48" s="352"/>
      <x:c r="Q48" s="352"/>
      <x:c r="R48" s="352"/>
      <x:c r="S48" s="352"/>
    </x:row>
    <x:row r="49">
      <x:c r="A49" s="352"/>
      <x:c r="B49" s="352"/>
      <x:c r="C49" s="352"/>
      <x:c r="D49" s="352"/>
      <x:c r="E49" s="352"/>
      <x:c r="F49" s="352"/>
      <x:c r="G49" s="352"/>
      <x:c r="H49" s="352"/>
      <x:c r="I49" s="352"/>
      <x:c r="J49" s="352"/>
      <x:c r="K49" s="352"/>
      <x:c r="L49" s="352"/>
      <x:c r="M49" s="352"/>
      <x:c r="N49" s="352"/>
      <x:c r="O49" s="352"/>
      <x:c r="P49" s="352"/>
      <x:c r="Q49" s="352"/>
      <x:c r="R49" s="352"/>
      <x:c r="S49" s="352"/>
    </x:row>
    <x:row r="50">
      <x:c r="A50" s="352"/>
      <x:c r="B50" s="352"/>
      <x:c r="C50" s="352"/>
      <x:c r="D50" s="352"/>
      <x:c r="E50" s="352"/>
      <x:c r="F50" s="352"/>
      <x:c r="G50" s="352"/>
      <x:c r="H50" s="352"/>
      <x:c r="I50" s="352"/>
      <x:c r="J50" s="352"/>
      <x:c r="K50" s="352"/>
      <x:c r="L50" s="352"/>
      <x:c r="M50" s="352"/>
      <x:c r="N50" s="352"/>
      <x:c r="O50" s="352"/>
      <x:c r="P50" s="352"/>
      <x:c r="Q50" s="352"/>
      <x:c r="R50" s="352"/>
      <x:c r="S50" s="352"/>
    </x:row>
    <x:row r="51">
      <x:c r="A51" s="352"/>
      <x:c r="B51" s="352"/>
      <x:c r="C51" s="352"/>
      <x:c r="D51" s="352"/>
      <x:c r="E51" s="352"/>
      <x:c r="F51" s="352"/>
      <x:c r="G51" s="352"/>
      <x:c r="H51" s="352"/>
      <x:c r="I51" s="352"/>
      <x:c r="J51" s="352"/>
      <x:c r="K51" s="352"/>
      <x:c r="L51" s="352"/>
      <x:c r="M51" s="352"/>
      <x:c r="N51" s="352"/>
      <x:c r="O51" s="352"/>
      <x:c r="P51" s="352"/>
      <x:c r="Q51" s="352"/>
      <x:c r="R51" s="352"/>
      <x:c r="S51" s="352"/>
    </x:row>
    <x:row r="52">
      <x:c r="A52" s="352"/>
      <x:c r="B52" s="352"/>
      <x:c r="C52" s="352"/>
      <x:c r="D52" s="352"/>
      <x:c r="E52" s="352"/>
      <x:c r="F52" s="352"/>
      <x:c r="G52" s="352"/>
      <x:c r="H52" s="352"/>
      <x:c r="I52" s="352"/>
      <x:c r="J52" s="352"/>
      <x:c r="K52" s="352"/>
      <x:c r="L52" s="352"/>
      <x:c r="M52" s="352"/>
      <x:c r="N52" s="352"/>
      <x:c r="O52" s="352"/>
      <x:c r="P52" s="352"/>
      <x:c r="Q52" s="352"/>
      <x:c r="R52" s="352"/>
      <x:c r="S52" s="352"/>
    </x:row>
    <x:row r="53">
      <x:c r="A53" s="352"/>
      <x:c r="B53" s="352"/>
      <x:c r="C53" s="352"/>
      <x:c r="D53" s="352"/>
      <x:c r="E53" s="352"/>
      <x:c r="F53" s="352"/>
      <x:c r="G53" s="352"/>
      <x:c r="H53" s="352"/>
      <x:c r="I53" s="352"/>
      <x:c r="J53" s="352"/>
      <x:c r="K53" s="352"/>
      <x:c r="L53" s="352"/>
      <x:c r="M53" s="352"/>
      <x:c r="N53" s="352"/>
      <x:c r="O53" s="352"/>
      <x:c r="P53" s="352"/>
      <x:c r="Q53" s="352"/>
      <x:c r="R53" s="352"/>
      <x:c r="S53" s="352"/>
    </x:row>
    <x:row r="54">
      <x:c r="A54" s="352"/>
      <x:c r="B54" s="352"/>
      <x:c r="C54" s="352"/>
      <x:c r="D54" s="352"/>
      <x:c r="E54" s="352"/>
      <x:c r="F54" s="352"/>
      <x:c r="G54" s="352"/>
      <x:c r="H54" s="352"/>
      <x:c r="I54" s="352"/>
      <x:c r="J54" s="352"/>
      <x:c r="K54" s="352"/>
      <x:c r="L54" s="352"/>
      <x:c r="M54" s="352"/>
      <x:c r="N54" s="352"/>
      <x:c r="O54" s="352"/>
      <x:c r="P54" s="352"/>
      <x:c r="Q54" s="352"/>
      <x:c r="R54" s="352"/>
      <x:c r="S54" s="352"/>
    </x:row>
    <x:row r="55">
      <x:c r="A55" s="352"/>
      <x:c r="B55" s="352"/>
      <x:c r="C55" s="352"/>
      <x:c r="D55" s="352"/>
      <x:c r="E55" s="352"/>
      <x:c r="F55" s="352"/>
      <x:c r="G55" s="352"/>
      <x:c r="H55" s="352"/>
      <x:c r="I55" s="352"/>
      <x:c r="J55" s="352"/>
      <x:c r="K55" s="352"/>
      <x:c r="L55" s="352"/>
      <x:c r="M55" s="352"/>
      <x:c r="N55" s="352"/>
      <x:c r="O55" s="352"/>
      <x:c r="P55" s="352"/>
      <x:c r="Q55" s="352"/>
      <x:c r="R55" s="352"/>
      <x:c r="S55" s="352"/>
    </x:row>
    <x:row r="56">
      <x:c r="A56" s="352"/>
      <x:c r="B56" s="352"/>
      <x:c r="C56" s="352"/>
      <x:c r="D56" s="352"/>
      <x:c r="E56" s="352"/>
      <x:c r="F56" s="352"/>
      <x:c r="G56" s="352"/>
      <x:c r="H56" s="352"/>
      <x:c r="I56" s="352"/>
      <x:c r="J56" s="352"/>
      <x:c r="K56" s="352"/>
      <x:c r="L56" s="352"/>
      <x:c r="M56" s="352"/>
      <x:c r="N56" s="352"/>
      <x:c r="O56" s="352"/>
      <x:c r="P56" s="352"/>
      <x:c r="Q56" s="352"/>
      <x:c r="R56" s="352"/>
      <x:c r="S56" s="352"/>
    </x:row>
    <x:row r="57">
      <x:c r="A57" s="352"/>
      <x:c r="B57" s="352"/>
      <x:c r="C57" s="352"/>
      <x:c r="D57" s="352"/>
      <x:c r="E57" s="352"/>
      <x:c r="F57" s="352"/>
      <x:c r="G57" s="352"/>
      <x:c r="H57" s="352"/>
      <x:c r="I57" s="352"/>
      <x:c r="J57" s="352"/>
      <x:c r="K57" s="352"/>
      <x:c r="L57" s="352"/>
      <x:c r="M57" s="352"/>
      <x:c r="N57" s="352"/>
      <x:c r="O57" s="352"/>
      <x:c r="P57" s="352"/>
      <x:c r="Q57" s="352"/>
      <x:c r="R57" s="352"/>
      <x:c r="S57" s="352"/>
    </x:row>
    <x:row r="58">
      <x:c r="A58" s="352"/>
      <x:c r="B58" s="352"/>
      <x:c r="C58" s="352"/>
      <x:c r="D58" s="352"/>
      <x:c r="E58" s="352"/>
      <x:c r="F58" s="352"/>
      <x:c r="G58" s="352"/>
      <x:c r="H58" s="352"/>
      <x:c r="I58" s="352"/>
      <x:c r="J58" s="352"/>
      <x:c r="K58" s="352"/>
      <x:c r="L58" s="352"/>
      <x:c r="M58" s="352"/>
      <x:c r="N58" s="352"/>
      <x:c r="O58" s="352"/>
      <x:c r="P58" s="352"/>
      <x:c r="Q58" s="352"/>
      <x:c r="R58" s="352"/>
      <x:c r="S58" s="352"/>
    </x:row>
    <x:row r="59">
      <x:c r="A59" s="352"/>
      <x:c r="B59" s="352"/>
      <x:c r="C59" s="352"/>
      <x:c r="D59" s="352"/>
      <x:c r="E59" s="352"/>
      <x:c r="F59" s="352"/>
      <x:c r="G59" s="352"/>
      <x:c r="H59" s="352"/>
      <x:c r="I59" s="352"/>
      <x:c r="J59" s="352"/>
      <x:c r="K59" s="352"/>
      <x:c r="L59" s="352"/>
      <x:c r="M59" s="352"/>
      <x:c r="N59" s="352"/>
      <x:c r="O59" s="352"/>
      <x:c r="P59" s="352"/>
      <x:c r="Q59" s="352"/>
      <x:c r="R59" s="352"/>
      <x:c r="S59" s="352"/>
    </x:row>
    <x:row r="60">
      <x:c r="A60" s="352"/>
      <x:c r="B60" s="352"/>
      <x:c r="C60" s="352"/>
      <x:c r="D60" s="352"/>
      <x:c r="E60" s="352"/>
      <x:c r="F60" s="352"/>
      <x:c r="G60" s="352"/>
      <x:c r="H60" s="352"/>
      <x:c r="I60" s="352"/>
      <x:c r="J60" s="352"/>
      <x:c r="K60" s="352"/>
      <x:c r="L60" s="352"/>
      <x:c r="M60" s="352"/>
      <x:c r="N60" s="352"/>
      <x:c r="O60" s="352"/>
      <x:c r="P60" s="352"/>
      <x:c r="Q60" s="352"/>
      <x:c r="R60" s="352"/>
      <x:c r="S60" s="352"/>
    </x:row>
  </x:sheetData>
  <x:mergeCells>
    <x:mergeCell ref="A1:O2"/>
    <x:mergeCell ref="A17:F17"/>
  </x:mergeCells>
  <x:pageMargins left="0.7" right="0.7" top="0.75" bottom="0.75" header="0.3" footer="0.3"/>
  <x:tableParts count="1">
    <x:tablePart xmlns:r="http://schemas.openxmlformats.org/officeDocument/2006/relationships" r:id="R09e5a65ce6ae4d7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14" hidden="0" customWidth="1"/>
    <x:col min="5" max="5" width="31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</x:cols>
  <x:sheetData>
    <x:row r="1" ht="34" customHeight="1">
      <x:c r="A1" s="5" t="str">
        <x:v>03 · CÁLCULOS DE LA LÍNEA BASE DE PLANIFICACIÓN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  <x:c r="N1" s="352"/>
      <x:c r="O1" s="352"/>
      <x:c r="P1" s="352"/>
      <x:c r="Q1" s="352"/>
      <x:c r="R1" s="352"/>
      <x:c r="S1" s="352"/>
    </x:row>
    <x:row r="2">
      <x:c r="A2" s="352"/>
      <x:c r="B2" s="352"/>
      <x:c r="C2" s="352"/>
      <x:c r="D2" s="352"/>
      <x:c r="E2" s="352"/>
      <x:c r="F2" s="352"/>
      <x:c r="G2" s="352"/>
      <x:c r="H2" s="352"/>
      <x:c r="I2" s="352"/>
      <x:c r="J2" s="352"/>
      <x:c r="K2" s="352"/>
      <x:c r="L2" s="352"/>
      <x:c r="M2" s="352"/>
      <x:c r="N2" s="352"/>
      <x:c r="O2" s="352"/>
      <x:c r="P2" s="352"/>
      <x:c r="Q2" s="352"/>
      <x:c r="R2" s="352"/>
      <x:c r="S2" s="352"/>
    </x:row>
    <x:row r="3">
      <x:c r="A3" s="352"/>
      <x:c r="B3" s="352"/>
      <x:c r="C3" s="352"/>
      <x:c r="D3" s="352"/>
      <x:c r="E3" s="352"/>
      <x:c r="F3" s="352"/>
      <x:c r="G3" s="352"/>
      <x:c r="H3" s="352"/>
      <x:c r="I3" s="352"/>
      <x:c r="J3" s="352"/>
      <x:c r="K3" s="352"/>
      <x:c r="L3" s="352"/>
      <x:c r="M3" s="352"/>
      <x:c r="N3" s="352"/>
      <x:c r="O3" s="352"/>
      <x:c r="P3" s="352"/>
      <x:c r="Q3" s="352"/>
      <x:c r="R3" s="352"/>
      <x:c r="S3" s="352"/>
    </x:row>
    <x:row r="4" ht="22" customHeight="1">
      <x:c r="A4" s="21" t="str">
        <x:v>CAPACIDAD, PRODUCCIÓN Y DURACIÓN</x:v>
      </x:c>
      <x:c r="B4" s="352"/>
      <x:c r="C4" s="352"/>
      <x:c r="D4" s="352"/>
      <x:c r="E4" s="39" t="str">
        <x:v>MANO DE OBRA</x:v>
      </x:c>
      <x:c r="F4" s="352"/>
      <x:c r="G4" s="352"/>
      <x:c r="H4" s="352"/>
      <x:c r="I4" s="352"/>
      <x:c r="J4" s="352"/>
      <x:c r="K4" s="352"/>
      <x:c r="L4" s="352"/>
      <x:c r="M4" s="352"/>
      <x:c r="N4" s="352"/>
      <x:c r="O4" s="352"/>
      <x:c r="P4" s="352"/>
      <x:c r="Q4" s="352"/>
      <x:c r="R4" s="352"/>
      <x:c r="S4" s="352"/>
    </x:row>
    <x:row r="5" ht="30" customHeight="1">
      <x:c r="A5" s="78" t="str">
        <x:v>Indicador</x:v>
      </x:c>
      <x:c r="B5" s="78" t="str">
        <x:v>Resultado</x:v>
      </x:c>
      <x:c r="C5" s="78" t="str">
        <x:v>Unidad</x:v>
      </x:c>
      <x:c r="D5" s="352"/>
      <x:c r="E5" s="78" t="str">
        <x:v>Indicador</x:v>
      </x:c>
      <x:c r="F5" s="78" t="str">
        <x:v>Resultado</x:v>
      </x:c>
      <x:c r="G5" s="78" t="str">
        <x:v>Unidad</x:v>
      </x:c>
      <x:c r="H5" s="352"/>
      <x:c r="I5" s="352"/>
      <x:c r="J5" s="352"/>
      <x:c r="K5" s="352"/>
      <x:c r="L5" s="352"/>
      <x:c r="M5" s="352"/>
      <x:c r="N5" s="352"/>
      <x:c r="O5" s="352"/>
      <x:c r="P5" s="352"/>
      <x:c r="Q5" s="352"/>
      <x:c r="R5" s="352"/>
      <x:c r="S5" s="352"/>
    </x:row>
    <x:row r="6">
      <x:c r="A6" s="352" t="str">
        <x:v>Cantidad Q</x:v>
      </x:c>
      <x:c r="B6" s="398" t="n">
        <x:f>'01_Parametros'!B10</x:f>
        <x:v>115.62</x:v>
      </x:c>
      <x:c r="C6" s="352" t="str">
        <x:v>m²</x:v>
      </x:c>
      <x:c r="D6" s="352"/>
      <x:c r="E6" s="352" t="str">
        <x:v>Cuadrilla nominal</x:v>
      </x:c>
      <x:c r="F6" s="398" t="n">
        <x:f>SUMIF('02_APU_Recursos'!B7:B14,"Mano de obra",'02_APU_Recursos'!E7:E14)</x:f>
        <x:v>4</x:v>
      </x:c>
      <x:c r="G6" s="352" t="str">
        <x:v>personas</x:v>
      </x:c>
      <x:c r="H6" s="352"/>
      <x:c r="I6" s="352"/>
      <x:c r="J6" s="352"/>
      <x:c r="K6" s="352"/>
      <x:c r="L6" s="352"/>
      <x:c r="M6" s="352"/>
      <x:c r="N6" s="352"/>
      <x:c r="O6" s="352"/>
      <x:c r="P6" s="352"/>
      <x:c r="Q6" s="352"/>
      <x:c r="R6" s="352"/>
      <x:c r="S6" s="352"/>
    </x:row>
    <x:row r="7">
      <x:c r="A7" s="352" t="str">
        <x:v>Ciclo gobernante tg</x:v>
      </x:c>
      <x:c r="B7" s="409" t="n">
        <x:f>MAX('02_APU_Recursos'!G7:G14)</x:f>
        <x:v>0.02</x:v>
      </x:c>
      <x:c r="C7" s="352" t="str">
        <x:v>h/m²</x:v>
      </x:c>
      <x:c r="D7" s="352"/>
      <x:c r="E7" s="352" t="str">
        <x:v>Intensidad laboral neta</x:v>
      </x:c>
      <x:c r="F7" s="409" t="n">
        <x:f>SUMIF('02_APU_Recursos'!B7:B14,"Mano de obra",'02_APU_Recursos'!I7:I14)</x:f>
        <x:v>0.066</x:v>
      </x:c>
      <x:c r="G7" s="352" t="str">
        <x:v>HH/m²</x:v>
      </x:c>
      <x:c r="H7" s="352"/>
      <x:c r="I7" s="352"/>
      <x:c r="J7" s="352"/>
      <x:c r="K7" s="352"/>
      <x:c r="L7" s="352"/>
      <x:c r="M7" s="352"/>
      <x:c r="N7" s="352"/>
      <x:c r="O7" s="352"/>
      <x:c r="P7" s="352"/>
      <x:c r="Q7" s="352"/>
      <x:c r="R7" s="352"/>
      <x:c r="S7" s="352"/>
    </x:row>
    <x:row r="8">
      <x:c r="A8" s="352" t="str">
        <x:v>Producción teórica Pt</x:v>
      </x:c>
      <x:c r="B8" s="409" t="n">
        <x:f>1/B7</x:f>
        <x:v>50</x:v>
      </x:c>
      <x:c r="C8" s="352" t="str">
        <x:v>m²/h</x:v>
      </x:c>
      <x:c r="D8" s="352"/>
      <x:c r="E8" s="352" t="str">
        <x:v>Trabajo neto APU</x:v>
      </x:c>
      <x:c r="F8" s="409" t="n">
        <x:f>$B$6*F7</x:f>
        <x:v>7.630920000000001</x:v>
      </x:c>
      <x:c r="G8" s="352" t="str">
        <x:v>HH</x:v>
      </x:c>
      <x:c r="H8" s="352"/>
      <x:c r="I8" s="352"/>
      <x:c r="J8" s="352"/>
      <x:c r="K8" s="352"/>
      <x:c r="L8" s="352"/>
      <x:c r="M8" s="352"/>
      <x:c r="N8" s="352"/>
      <x:c r="O8" s="352"/>
      <x:c r="P8" s="352"/>
      <x:c r="Q8" s="352"/>
      <x:c r="R8" s="352"/>
      <x:c r="S8" s="352"/>
    </x:row>
    <x:row r="9">
      <x:c r="A9" s="352" t="str">
        <x:v>Factor de planificación Fp</x:v>
      </x:c>
      <x:c r="B9" s="472" t="n">
        <x:f>'01_Parametros'!B12</x:f>
        <x:v>0.85</x:v>
      </x:c>
      <x:c r="C9" s="352" t="str">
        <x:v>%</x:v>
      </x:c>
      <x:c r="D9" s="352"/>
      <x:c r="E9" s="352" t="str">
        <x:v>Trabajo planificado bruto</x:v>
      </x:c>
      <x:c r="F9" s="409" t="n">
        <x:f>F8/$B$9</x:f>
        <x:v>8.977552941176471</x:v>
      </x:c>
      <x:c r="G9" s="352" t="str">
        <x:v>HH</x:v>
      </x:c>
      <x:c r="H9" s="352"/>
      <x:c r="I9" s="352"/>
      <x:c r="J9" s="352"/>
      <x:c r="K9" s="352"/>
      <x:c r="L9" s="352"/>
      <x:c r="M9" s="352"/>
      <x:c r="N9" s="352"/>
      <x:c r="O9" s="352"/>
      <x:c r="P9" s="352"/>
      <x:c r="Q9" s="352"/>
      <x:c r="R9" s="352"/>
      <x:c r="S9" s="352"/>
    </x:row>
    <x:row r="10">
      <x:c r="A10" s="352" t="str">
        <x:v>Producción planificada Pp</x:v>
      </x:c>
      <x:c r="B10" s="409" t="n">
        <x:f>B8*B9</x:f>
        <x:v>42.5</x:v>
      </x:c>
      <x:c r="C10" s="352" t="str">
        <x:v>m²/h</x:v>
      </x:c>
      <x:c r="D10" s="352"/>
      <x:c r="E10" s="352" t="str">
        <x:v>Productividad laboral neta</x:v>
      </x:c>
      <x:c r="F10" s="409" t="n">
        <x:f>1/F7</x:f>
        <x:v>15.15151515151515</x:v>
      </x:c>
      <x:c r="G10" s="352" t="str">
        <x:v>m²/HH</x:v>
      </x:c>
      <x:c r="H10" s="352"/>
      <x:c r="I10" s="352"/>
      <x:c r="J10" s="352"/>
      <x:c r="K10" s="352"/>
      <x:c r="L10" s="352"/>
      <x:c r="M10" s="352"/>
      <x:c r="N10" s="352"/>
      <x:c r="O10" s="352"/>
      <x:c r="P10" s="352"/>
      <x:c r="Q10" s="352"/>
      <x:c r="R10" s="352"/>
      <x:c r="S10" s="352"/>
    </x:row>
    <x:row r="11">
      <x:c r="A11" s="352" t="str">
        <x:v>Producción por jornada</x:v>
      </x:c>
      <x:c r="B11" s="409" t="n">
        <x:f>B10*'01_Parametros'!B11</x:f>
        <x:v>340</x:v>
      </x:c>
      <x:c r="C11" s="352" t="str">
        <x:v>m²/día</x:v>
      </x:c>
      <x:c r="D11" s="352"/>
      <x:c r="E11" s="352" t="str">
        <x:v>Productividad laboral planificada</x:v>
      </x:c>
      <x:c r="F11" s="409" t="n">
        <x:f>$B$6/F9</x:f>
        <x:v>12.878787878787879</x:v>
      </x:c>
      <x:c r="G11" s="352" t="str">
        <x:v>m²/HH</x:v>
      </x:c>
      <x:c r="H11" s="352"/>
      <x:c r="I11" s="352"/>
      <x:c r="J11" s="352"/>
      <x:c r="K11" s="352"/>
      <x:c r="L11" s="352"/>
      <x:c r="M11" s="352"/>
      <x:c r="N11" s="352"/>
      <x:c r="O11" s="352"/>
      <x:c r="P11" s="352"/>
      <x:c r="Q11" s="352"/>
      <x:c r="R11" s="352"/>
      <x:c r="S11" s="352"/>
    </x:row>
    <x:row r="12">
      <x:c r="A12" s="352" t="str">
        <x:v>Duración neta</x:v>
      </x:c>
      <x:c r="B12" s="409" t="n">
        <x:f>B6/B8</x:f>
        <x:v>2.3124000000000002</x:v>
      </x:c>
      <x:c r="C12" s="352" t="str">
        <x:v>h</x:v>
      </x:c>
      <x:c r="D12" s="352"/>
      <x:c r="E12" s="352" t="str">
        <x:v>Cuadrilla equivalente promedio</x:v>
      </x:c>
      <x:c r="F12" s="409" t="n">
        <x:f>F9/$B$13</x:f>
        <x:v>3.3</x:v>
      </x:c>
      <x:c r="G12" s="352" t="str">
        <x:v>personas</x:v>
      </x:c>
      <x:c r="H12" s="352"/>
      <x:c r="I12" s="352"/>
      <x:c r="J12" s="352"/>
      <x:c r="K12" s="352"/>
      <x:c r="L12" s="352"/>
      <x:c r="M12" s="352"/>
      <x:c r="N12" s="352"/>
      <x:c r="O12" s="352"/>
      <x:c r="P12" s="352"/>
      <x:c r="Q12" s="352"/>
      <x:c r="R12" s="352"/>
      <x:c r="S12" s="352"/>
    </x:row>
    <x:row r="13">
      <x:c r="A13" s="352" t="str">
        <x:v>Duración planificada</x:v>
      </x:c>
      <x:c r="B13" s="409" t="n">
        <x:f>B6/B10</x:f>
        <x:v>2.7204705882352944</x:v>
      </x:c>
      <x:c r="C13" s="352" t="str">
        <x:v>h</x:v>
      </x:c>
      <x:c r="D13" s="352"/>
      <x:c r="E13" s="352" t="str">
        <x:v>Carga de cuadrilla</x:v>
      </x:c>
      <x:c r="F13" s="472" t="n">
        <x:f>F12/F6</x:f>
        <x:v>0.825</x:v>
      </x:c>
      <x:c r="G13" s="352" t="str">
        <x:v>%</x:v>
      </x:c>
      <x:c r="H13" s="352"/>
      <x:c r="I13" s="352"/>
      <x:c r="J13" s="352"/>
      <x:c r="K13" s="352"/>
      <x:c r="L13" s="352"/>
      <x:c r="M13" s="352"/>
      <x:c r="N13" s="352"/>
      <x:c r="O13" s="352"/>
      <x:c r="P13" s="352"/>
      <x:c r="Q13" s="352"/>
      <x:c r="R13" s="352"/>
      <x:c r="S13" s="352"/>
    </x:row>
    <x:row r="14">
      <x:c r="A14" s="352" t="str">
        <x:v>Duración planificada</x:v>
      </x:c>
      <x:c r="B14" s="409" t="n">
        <x:f>B13/'01_Parametros'!B11</x:f>
        <x:v>0.3400588235294118</x:v>
      </x:c>
      <x:c r="C14" s="352" t="str">
        <x:v>días</x:v>
      </x:c>
      <x:c r="D14" s="352"/>
      <x:c r="E14" s="352" t="str">
        <x:v>Holgura nominal de cuadrilla</x:v>
      </x:c>
      <x:c r="F14" s="473" t="n">
        <x:f>1-F13</x:f>
        <x:v>0.17500000000000004</x:v>
      </x:c>
      <x:c r="G14" s="352" t="str">
        <x:v>%</x:v>
      </x:c>
      <x:c r="H14" s="352"/>
      <x:c r="I14" s="352"/>
      <x:c r="J14" s="352"/>
      <x:c r="K14" s="352"/>
      <x:c r="L14" s="352"/>
      <x:c r="M14" s="352"/>
      <x:c r="N14" s="352"/>
      <x:c r="O14" s="352"/>
      <x:c r="P14" s="352"/>
      <x:c r="Q14" s="352"/>
      <x:c r="R14" s="352"/>
      <x:c r="S14" s="352"/>
    </x:row>
    <x:row r="15">
      <x:c r="A15" s="352" t="str">
        <x:v>Fecha de inicio</x:v>
      </x:c>
      <x:c r="B15" s="474" t="n">
        <x:f>'01_Parametros'!B13</x:f>
        <x:v>46216</x:v>
      </x:c>
      <x:c r="C15" s="352" t="str">
        <x:v>fecha</x:v>
      </x:c>
      <x:c r="D15" s="352"/>
      <x:c r="E15" s="352"/>
      <x:c r="F15" s="352"/>
      <x:c r="G15" s="352"/>
      <x:c r="H15" s="352"/>
      <x:c r="I15" s="352"/>
      <x:c r="J15" s="352"/>
      <x:c r="K15" s="352"/>
      <x:c r="L15" s="352"/>
      <x:c r="M15" s="352"/>
      <x:c r="N15" s="352"/>
      <x:c r="O15" s="352"/>
      <x:c r="P15" s="352"/>
      <x:c r="Q15" s="352"/>
      <x:c r="R15" s="352"/>
      <x:c r="S15" s="352"/>
    </x:row>
    <x:row r="16">
      <x:c r="A16" s="352"/>
      <x:c r="B16" s="352"/>
      <x:c r="C16" s="352"/>
      <x:c r="D16" s="352"/>
      <x:c r="E16" s="352"/>
      <x:c r="F16" s="352"/>
      <x:c r="G16" s="352"/>
      <x:c r="H16" s="352"/>
      <x:c r="I16" s="352"/>
      <x:c r="J16" s="352"/>
      <x:c r="K16" s="352"/>
      <x:c r="L16" s="352"/>
      <x:c r="M16" s="352"/>
      <x:c r="N16" s="352"/>
      <x:c r="O16" s="352"/>
      <x:c r="P16" s="352"/>
      <x:c r="Q16" s="352"/>
      <x:c r="R16" s="352"/>
      <x:c r="S16" s="352"/>
    </x:row>
    <x:row r="17">
      <x:c r="A17" s="352"/>
      <x:c r="B17" s="352"/>
      <x:c r="C17" s="352"/>
      <x:c r="D17" s="352"/>
      <x:c r="E17" s="352"/>
      <x:c r="F17" s="352"/>
      <x:c r="G17" s="352"/>
      <x:c r="H17" s="352"/>
      <x:c r="I17" s="352"/>
      <x:c r="J17" s="352"/>
      <x:c r="K17" s="352"/>
      <x:c r="L17" s="352"/>
      <x:c r="M17" s="352"/>
      <x:c r="N17" s="352"/>
      <x:c r="O17" s="352"/>
      <x:c r="P17" s="352"/>
      <x:c r="Q17" s="352"/>
      <x:c r="R17" s="352"/>
      <x:c r="S17" s="352"/>
    </x:row>
    <x:row r="18" ht="22" customHeight="1">
      <x:c r="A18" s="21" t="str">
        <x:v>EQUIPOS Y HERRAMIENTAS</x:v>
      </x:c>
      <x:c r="B18" s="352"/>
      <x:c r="C18" s="352"/>
      <x:c r="D18" s="352"/>
      <x:c r="E18" s="352"/>
      <x:c r="F18" s="352"/>
      <x:c r="G18" s="352"/>
      <x:c r="H18" s="352"/>
      <x:c r="I18" s="352"/>
      <x:c r="J18" s="352"/>
      <x:c r="K18" s="352"/>
      <x:c r="L18" s="352"/>
      <x:c r="M18" s="352"/>
      <x:c r="N18" s="352"/>
      <x:c r="O18" s="352"/>
      <x:c r="P18" s="352"/>
      <x:c r="Q18" s="352"/>
      <x:c r="R18" s="352"/>
      <x:c r="S18" s="352"/>
    </x:row>
    <x:row r="19" ht="30" customHeight="1">
      <x:c r="A19" s="78" t="str">
        <x:v>Recurso</x:v>
      </x:c>
      <x:c r="B19" s="78" t="str">
        <x:v>n</x:v>
      </x:c>
      <x:c r="C19" s="78" t="str">
        <x:v>Ciclo h/u</x:v>
      </x:c>
      <x:c r="D19" s="78" t="str">
        <x:v>Intensidad EH/u</x:v>
      </x:c>
      <x:c r="E19" s="78" t="str">
        <x:v>Productividad u/EH</x:v>
      </x:c>
      <x:c r="F19" s="78" t="str">
        <x:v>Capacidad flota u/h</x:v>
      </x:c>
      <x:c r="G19" s="78" t="str">
        <x:v>Consumo neto EH</x:v>
      </x:c>
      <x:c r="H19" s="78" t="str">
        <x:v>Consumo plan EH</x:v>
      </x:c>
      <x:c r="I19" s="78" t="str">
        <x:v>Utilización nominal</x:v>
      </x:c>
      <x:c r="J19" s="78" t="str">
        <x:v>Costo plan</x:v>
      </x:c>
      <x:c r="K19" s="352"/>
      <x:c r="L19" s="352"/>
      <x:c r="M19" s="352"/>
      <x:c r="N19" s="352"/>
      <x:c r="O19" s="352"/>
      <x:c r="P19" s="352"/>
      <x:c r="Q19" s="352"/>
      <x:c r="R19" s="352"/>
      <x:c r="S19" s="352"/>
    </x:row>
    <x:row r="20">
      <x:c r="A20" s="352" t="str">
        <x:v>Herramientas varias</x:v>
      </x:c>
      <x:c r="B20" s="397" t="n">
        <x:f>'02_APU_Recursos'!E7</x:f>
        <x:v>2</x:v>
      </x:c>
      <x:c r="C20" s="401" t="n">
        <x:f>'02_APU_Recursos'!G7</x:f>
        <x:v>0.02</x:v>
      </x:c>
      <x:c r="D20" s="401" t="n">
        <x:f>'02_APU_Recursos'!I7</x:f>
        <x:v>0.04</x:v>
      </x:c>
      <x:c r="E20" s="401" t="n">
        <x:f>1/D20</x:f>
        <x:v>25</x:v>
      </x:c>
      <x:c r="F20" s="401" t="n">
        <x:f>1/C20</x:f>
        <x:v>50</x:v>
      </x:c>
      <x:c r="G20" s="401" t="n">
        <x:f>$B$6*D20</x:f>
        <x:v>4.6248000000000005</x:v>
      </x:c>
      <x:c r="H20" s="401" t="n">
        <x:f>G20/$B$9</x:f>
        <x:v>5.440941176470589</x:v>
      </x:c>
      <x:c r="I20" s="475" t="n">
        <x:f>D20/(B20*$B$7)</x:f>
        <x:v>1</x:v>
      </x:c>
      <x:c r="J20" s="427" t="n">
        <x:f>H20*'02_APU_Recursos'!F7</x:f>
        <x:v>2.7204705882352944</x:v>
      </x:c>
      <x:c r="K20" s="352"/>
      <x:c r="L20" s="352"/>
      <x:c r="M20" s="352"/>
      <x:c r="N20" s="352"/>
      <x:c r="O20" s="352"/>
      <x:c r="P20" s="352"/>
      <x:c r="Q20" s="352"/>
      <x:c r="R20" s="352"/>
      <x:c r="S20" s="352"/>
    </x:row>
    <x:row r="21">
      <x:c r="A21" s="352" t="str">
        <x:v>Equipo de topografía</x:v>
      </x:c>
      <x:c r="B21" s="419" t="n">
        <x:f>'02_APU_Recursos'!E8</x:f>
        <x:v>1</x:v>
      </x:c>
      <x:c r="C21" s="423" t="n">
        <x:f>'02_APU_Recursos'!G8</x:f>
        <x:v>0.02</x:v>
      </x:c>
      <x:c r="D21" s="423" t="n">
        <x:f>'02_APU_Recursos'!I8</x:f>
        <x:v>0.02</x:v>
      </x:c>
      <x:c r="E21" s="423" t="n">
        <x:f>1/D21</x:f>
        <x:v>50</x:v>
      </x:c>
      <x:c r="F21" s="423" t="n">
        <x:f>1/C21</x:f>
        <x:v>50</x:v>
      </x:c>
      <x:c r="G21" s="423" t="n">
        <x:f>$B$6*D21</x:f>
        <x:v>2.3124000000000002</x:v>
      </x:c>
      <x:c r="H21" s="423" t="n">
        <x:f>G21/$B$9</x:f>
        <x:v>2.7204705882352944</x:v>
      </x:c>
      <x:c r="I21" s="476" t="n">
        <x:f>D21/(B21*$B$7)</x:f>
        <x:v>1</x:v>
      </x:c>
      <x:c r="J21" s="431" t="n">
        <x:f>H21*'02_APU_Recursos'!F8</x:f>
        <x:v>21.763764705882355</x:v>
      </x:c>
      <x:c r="K21" s="352"/>
      <x:c r="L21" s="352"/>
      <x:c r="M21" s="352"/>
      <x:c r="N21" s="352"/>
      <x:c r="O21" s="352"/>
      <x:c r="P21" s="352"/>
      <x:c r="Q21" s="352"/>
      <x:c r="R21" s="352"/>
      <x:c r="S21" s="352"/>
    </x:row>
    <x:row r="22">
      <x:c r="A22" s="352"/>
      <x:c r="B22" s="352"/>
      <x:c r="C22" s="352"/>
      <x:c r="D22" s="352"/>
      <x:c r="E22" s="352"/>
      <x:c r="F22" s="352"/>
      <x:c r="G22" s="352"/>
      <x:c r="H22" s="352"/>
      <x:c r="I22" s="352"/>
      <x:c r="J22" s="352"/>
      <x:c r="K22" s="352"/>
      <x:c r="L22" s="352"/>
      <x:c r="M22" s="352"/>
      <x:c r="N22" s="352"/>
      <x:c r="O22" s="352"/>
      <x:c r="P22" s="352"/>
      <x:c r="Q22" s="352"/>
      <x:c r="R22" s="352"/>
      <x:c r="S22" s="352"/>
    </x:row>
    <x:row r="23">
      <x:c r="A23" s="352"/>
      <x:c r="B23" s="352"/>
      <x:c r="C23" s="352"/>
      <x:c r="D23" s="352"/>
      <x:c r="E23" s="352"/>
      <x:c r="F23" s="352"/>
      <x:c r="G23" s="352"/>
      <x:c r="H23" s="352"/>
      <x:c r="I23" s="352"/>
      <x:c r="J23" s="352"/>
      <x:c r="K23" s="352"/>
      <x:c r="L23" s="352"/>
      <x:c r="M23" s="352"/>
      <x:c r="N23" s="352"/>
      <x:c r="O23" s="352"/>
      <x:c r="P23" s="352"/>
      <x:c r="Q23" s="352"/>
      <x:c r="R23" s="352"/>
      <x:c r="S23" s="352"/>
    </x:row>
    <x:row r="24" ht="22" customHeight="1">
      <x:c r="A24" s="21" t="str">
        <x:v>MATERIALES</x:v>
      </x:c>
      <x:c r="B24" s="352"/>
      <x:c r="C24" s="352"/>
      <x:c r="D24" s="352"/>
      <x:c r="E24" s="352"/>
      <x:c r="F24" s="352"/>
      <x:c r="G24" s="39" t="str">
        <x:v>COSTOS DE PLANIFICACIÓN</x:v>
      </x:c>
      <x:c r="H24" s="352"/>
      <x:c r="I24" s="352"/>
      <x:c r="J24" s="352"/>
      <x:c r="K24" s="352"/>
      <x:c r="L24" s="352"/>
      <x:c r="M24" s="352"/>
      <x:c r="N24" s="352"/>
      <x:c r="O24" s="352"/>
      <x:c r="P24" s="352"/>
      <x:c r="Q24" s="352"/>
      <x:c r="R24" s="352"/>
      <x:c r="S24" s="352"/>
    </x:row>
    <x:row r="25" ht="30" customHeight="1">
      <x:c r="A25" s="78" t="str">
        <x:v>Material</x:v>
      </x:c>
      <x:c r="B25" s="78" t="str">
        <x:v>Consumo unitario</x:v>
      </x:c>
      <x:c r="C25" s="78" t="str">
        <x:v>Consumo total</x:v>
      </x:c>
      <x:c r="D25" s="78" t="str">
        <x:v>Rendimiento teórico</x:v>
      </x:c>
      <x:c r="E25" s="78" t="str">
        <x:v>Costo total</x:v>
      </x:c>
      <x:c r="F25" s="352"/>
      <x:c r="G25" s="78" t="str">
        <x:v>Indicador</x:v>
      </x:c>
      <x:c r="H25" s="78" t="str">
        <x:v>Costo/u</x:v>
      </x:c>
      <x:c r="I25" s="78" t="str">
        <x:v>Total actividad</x:v>
      </x:c>
      <x:c r="J25" s="78" t="str">
        <x:v>Criterio</x:v>
      </x:c>
      <x:c r="K25" s="352"/>
      <x:c r="L25" s="352"/>
      <x:c r="M25" s="352"/>
      <x:c r="N25" s="352"/>
      <x:c r="O25" s="352"/>
      <x:c r="P25" s="352"/>
      <x:c r="Q25" s="352"/>
      <x:c r="R25" s="352"/>
      <x:c r="S25" s="352"/>
    </x:row>
    <x:row r="26">
      <x:c r="A26" s="352" t="str">
        <x:v>Clavos</x:v>
      </x:c>
      <x:c r="B26" s="397" t="n">
        <x:f>'02_APU_Recursos'!I9</x:f>
        <x:v>0.02</x:v>
      </x:c>
      <x:c r="C26" s="401" t="n">
        <x:f>$B$6*B26</x:f>
        <x:v>2.3124000000000002</x:v>
      </x:c>
      <x:c r="D26" s="401" t="n">
        <x:f>1/B26</x:f>
        <x:v>50</x:v>
      </x:c>
      <x:c r="E26" s="427" t="n">
        <x:f>C26*'02_APU_Recursos'!F9</x:f>
        <x:v>4.416684</x:v>
      </x:c>
      <x:c r="F26" s="352"/>
      <x:c r="G26" s="352" t="str">
        <x:v>Equipo neto APU</x:v>
      </x:c>
      <x:c r="H26" s="426" t="n">
        <x:f>SUMIF('02_APU_Recursos'!B7:B14,"Equipo",'02_APU_Recursos'!K7:K14)</x:f>
        <x:v>0.18</x:v>
      </x:c>
      <x:c r="I26" s="427" t="n">
        <x:f>H26*$B$6</x:f>
        <x:v>20.8116</x:v>
      </x:c>
      <x:c r="J26" s="352" t="str">
        <x:v>Sin ajuste Fp</x:v>
      </x:c>
      <x:c r="K26" s="352"/>
      <x:c r="L26" s="352"/>
      <x:c r="M26" s="352"/>
      <x:c r="N26" s="352"/>
      <x:c r="O26" s="352"/>
      <x:c r="P26" s="352"/>
      <x:c r="Q26" s="352"/>
      <x:c r="R26" s="352"/>
      <x:c r="S26" s="352"/>
    </x:row>
    <x:row r="27">
      <x:c r="A27" s="352" t="str">
        <x:v>Tiras de eucalipto</x:v>
      </x:c>
      <x:c r="B27" s="408" t="n">
        <x:f>'02_APU_Recursos'!I10</x:f>
        <x:v>0.2</x:v>
      </x:c>
      <x:c r="C27" s="412" t="n">
        <x:f>$B$6*B27</x:f>
        <x:v>23.124000000000002</x:v>
      </x:c>
      <x:c r="D27" s="412" t="n">
        <x:f>1/B27</x:f>
        <x:v>5</x:v>
      </x:c>
      <x:c r="E27" s="429" t="n">
        <x:f>C27*'02_APU_Recursos'!F10</x:f>
        <x:v>19.886640000000003</x:v>
      </x:c>
      <x:c r="F27" s="352"/>
      <x:c r="G27" s="352" t="str">
        <x:v>Materiales</x:v>
      </x:c>
      <x:c r="H27" s="428" t="n">
        <x:f>SUMIF('02_APU_Recursos'!B7:B14,"Material",'02_APU_Recursos'!K7:K14)</x:f>
        <x:v>0.3795</x:v>
      </x:c>
      <x:c r="I27" s="429" t="n">
        <x:f>H27*$B$6</x:f>
        <x:v>43.877790000000005</x:v>
      </x:c>
      <x:c r="J27" s="352" t="str">
        <x:v>No dependiente del tiempo</x:v>
      </x:c>
      <x:c r="K27" s="352"/>
      <x:c r="L27" s="352"/>
      <x:c r="M27" s="352"/>
      <x:c r="N27" s="352"/>
      <x:c r="O27" s="352"/>
      <x:c r="P27" s="352"/>
      <x:c r="Q27" s="352"/>
      <x:c r="R27" s="352"/>
      <x:c r="S27" s="352"/>
    </x:row>
    <x:row r="28">
      <x:c r="A28" s="352" t="str">
        <x:v>Pintura esmalte</x:v>
      </x:c>
      <x:c r="B28" s="419" t="n">
        <x:f>'02_APU_Recursos'!I11</x:f>
        <x:v>0.01</x:v>
      </x:c>
      <x:c r="C28" s="423" t="n">
        <x:f>$B$6*B28</x:f>
        <x:v>1.1562000000000001</x:v>
      </x:c>
      <x:c r="D28" s="423" t="n">
        <x:f>1/B28</x:f>
        <x:v>100</x:v>
      </x:c>
      <x:c r="E28" s="431" t="n">
        <x:f>C28*'02_APU_Recursos'!F11</x:f>
        <x:v>19.574466</x:v>
      </x:c>
      <x:c r="F28" s="352"/>
      <x:c r="G28" s="352" t="str">
        <x:v>Mano de obra neta APU</x:v>
      </x:c>
      <x:c r="H28" s="428" t="n">
        <x:f>SUMIF('02_APU_Recursos'!B7:B14,"Mano de obra",'02_APU_Recursos'!K7:K14)</x:f>
        <x:v>0.2927</x:v>
      </x:c>
      <x:c r="I28" s="429" t="n">
        <x:f>H28*$B$6</x:f>
        <x:v>33.841974</x:v>
      </x:c>
      <x:c r="J28" s="352" t="str">
        <x:v>Sin ajuste Fp</x:v>
      </x:c>
      <x:c r="K28" s="352"/>
      <x:c r="L28" s="352"/>
      <x:c r="M28" s="352"/>
      <x:c r="N28" s="352"/>
      <x:c r="O28" s="352"/>
      <x:c r="P28" s="352"/>
      <x:c r="Q28" s="352"/>
      <x:c r="R28" s="352"/>
      <x:c r="S28" s="352"/>
    </x:row>
    <x:row r="29">
      <x:c r="A29" s="352"/>
      <x:c r="B29" s="352"/>
      <x:c r="C29" s="352"/>
      <x:c r="D29" s="352"/>
      <x:c r="E29" s="352"/>
      <x:c r="F29" s="352"/>
      <x:c r="G29" s="352" t="str">
        <x:v>Costo directo exacto APU</x:v>
      </x:c>
      <x:c r="H29" s="428" t="n">
        <x:f>SUM(H26:H28)</x:f>
        <x:v>0.8522000000000001</x:v>
      </x:c>
      <x:c r="I29" s="429" t="n">
        <x:f>H29*$B$6</x:f>
        <x:v>98.53136400000001</x:v>
      </x:c>
      <x:c r="J29" s="352" t="str">
        <x:v>Suma exacta</x:v>
      </x:c>
      <x:c r="K29" s="352"/>
      <x:c r="L29" s="352"/>
      <x:c r="M29" s="352"/>
      <x:c r="N29" s="352"/>
      <x:c r="O29" s="352"/>
      <x:c r="P29" s="352"/>
      <x:c r="Q29" s="352"/>
      <x:c r="R29" s="352"/>
      <x:c r="S29" s="352"/>
    </x:row>
    <x:row r="30">
      <x:c r="A30" s="352"/>
      <x:c r="B30" s="352"/>
      <x:c r="C30" s="352"/>
      <x:c r="D30" s="352"/>
      <x:c r="E30" s="352"/>
      <x:c r="F30" s="352"/>
      <x:c r="G30" s="352" t="str">
        <x:v>Costo directo heredado</x:v>
      </x:c>
      <x:c r="H30" s="428" t="n">
        <x:f>'02_APU_Recursos'!C22</x:f>
        <x:v>0.8600000000000001</x:v>
      </x:c>
      <x:c r="I30" s="429" t="n">
        <x:f>H30*$B$6</x:f>
        <x:v>99.43320000000001</x:v>
      </x:c>
      <x:c r="J30" s="352" t="str">
        <x:v>Redondeo por renglón</x:v>
      </x:c>
      <x:c r="K30" s="352"/>
      <x:c r="L30" s="352"/>
      <x:c r="M30" s="352"/>
      <x:c r="N30" s="352"/>
      <x:c r="O30" s="352"/>
      <x:c r="P30" s="352"/>
      <x:c r="Q30" s="352"/>
      <x:c r="R30" s="352"/>
      <x:c r="S30" s="352"/>
    </x:row>
    <x:row r="31" ht="22" customHeight="1">
      <x:c r="A31" s="21" t="str">
        <x:v>VALIDACIONES DE PLANIFICACIÓN</x:v>
      </x:c>
      <x:c r="B31" s="352"/>
      <x:c r="C31" s="352"/>
      <x:c r="D31" s="352"/>
      <x:c r="E31" s="352"/>
      <x:c r="F31" s="352"/>
      <x:c r="G31" s="352" t="str">
        <x:v>Costo directo planificado</x:v>
      </x:c>
      <x:c r="H31" s="428" t="n">
        <x:f>'05_Programa_Recursos'!C22/$B$6</x:f>
        <x:v>0.9356176470588238</x:v>
      </x:c>
      <x:c r="I31" s="429" t="n">
        <x:f>H31*$B$6</x:f>
        <x:v>108.1761123529412</x:v>
      </x:c>
      <x:c r="J31" s="352" t="str">
        <x:v>MO y equipo / Fp</x:v>
      </x:c>
      <x:c r="K31" s="352"/>
      <x:c r="L31" s="352"/>
      <x:c r="M31" s="352"/>
      <x:c r="N31" s="352"/>
      <x:c r="O31" s="352"/>
      <x:c r="P31" s="352"/>
      <x:c r="Q31" s="352"/>
      <x:c r="R31" s="352"/>
      <x:c r="S31" s="352"/>
    </x:row>
    <x:row r="32" ht="30" customHeight="1">
      <x:c r="A32" s="78" t="str">
        <x:v>Prueba</x:v>
      </x:c>
      <x:c r="B32" s="78" t="str">
        <x:v>Resultado</x:v>
      </x:c>
      <x:c r="C32" s="78" t="str">
        <x:v>Estado</x:v>
      </x:c>
      <x:c r="D32" s="352"/>
      <x:c r="E32" s="352"/>
      <x:c r="F32" s="352"/>
      <x:c r="G32" s="352" t="str">
        <x:v>Indirecto fijo</x:v>
      </x:c>
      <x:c r="H32" s="428" t="n">
        <x:f>'01_Parametros'!B14</x:f>
        <x:v>0.18</x:v>
      </x:c>
      <x:c r="I32" s="429" t="n">
        <x:f>H32*$B$6</x:f>
        <x:v>20.8116</x:v>
      </x:c>
      <x:c r="J32" s="352" t="str">
        <x:v>US$/u</x:v>
      </x:c>
      <x:c r="K32" s="352"/>
      <x:c r="L32" s="352"/>
      <x:c r="M32" s="352"/>
      <x:c r="N32" s="352"/>
      <x:c r="O32" s="352"/>
      <x:c r="P32" s="352"/>
      <x:c r="Q32" s="352"/>
      <x:c r="R32" s="352"/>
      <x:c r="S32" s="352"/>
    </x:row>
    <x:row r="33">
      <x:c r="A33" s="352" t="str">
        <x:v>Q = Pp × duración plan</x:v>
      </x:c>
      <x:c r="B33" s="477" t="n">
        <x:f>ABS($B$6-$B$10*$B$13)</x:f>
        <x:v>1.4210854715202004e-14</x:v>
      </x:c>
      <x:c r="C33" s="478" t="str">
        <x:f>IF(B33&lt;='01_Parametros'!B17,"OK","REVISAR")</x:f>
        <x:v>OK</x:v>
      </x:c>
      <x:c r="D33" s="352"/>
      <x:c r="E33" s="352"/>
      <x:c r="F33" s="352"/>
      <x:c r="G33" s="352" t="str">
        <x:v>Precio unitario planificado</x:v>
      </x:c>
      <x:c r="H33" s="428" t="n">
        <x:f>H31+H32</x:f>
        <x:v>1.1156176470588237</x:v>
      </x:c>
      <x:c r="I33" s="429" t="n">
        <x:f>H33*$B$6</x:f>
        <x:v>128.9877123529412</x:v>
      </x:c>
      <x:c r="J33" s="352" t="str">
        <x:v>Directo plan + indirecto</x:v>
      </x:c>
      <x:c r="K33" s="352"/>
      <x:c r="L33" s="352"/>
      <x:c r="M33" s="352"/>
      <x:c r="N33" s="352"/>
      <x:c r="O33" s="352"/>
      <x:c r="P33" s="352"/>
      <x:c r="Q33" s="352"/>
      <x:c r="R33" s="352"/>
      <x:c r="S33" s="352"/>
    </x:row>
    <x:row r="34">
      <x:c r="A34" s="352" t="str">
        <x:v>Trabajo plan = cuadrilla eq. × duración</x:v>
      </x:c>
      <x:c r="B34" s="479" t="n">
        <x:f>ABS($F$9-$F$12*$B$13)</x:f>
        <x:v>0</x:v>
      </x:c>
      <x:c r="C34" s="480" t="str">
        <x:f>IF(B34&lt;='01_Parametros'!B17,"OK","REVISAR")</x:f>
        <x:v>OK</x:v>
      </x:c>
      <x:c r="D34" s="352"/>
      <x:c r="E34" s="352"/>
      <x:c r="F34" s="352"/>
      <x:c r="G34" s="352" t="str">
        <x:v>Impacto del factor</x:v>
      </x:c>
      <x:c r="H34" s="430" t="n">
        <x:f>H31-H29</x:f>
        <x:v>0.08341764705882371</x:v>
      </x:c>
      <x:c r="I34" s="431" t="n">
        <x:f>H34*$B$6</x:f>
        <x:v>9.644748352941198</x:v>
      </x:c>
      <x:c r="J34" s="352" t="str">
        <x:v>Plan - APU exacto</x:v>
      </x:c>
      <x:c r="K34" s="352"/>
      <x:c r="L34" s="352"/>
      <x:c r="M34" s="352"/>
      <x:c r="N34" s="352"/>
      <x:c r="O34" s="352"/>
      <x:c r="P34" s="352"/>
      <x:c r="Q34" s="352"/>
      <x:c r="R34" s="352"/>
      <x:c r="S34" s="352"/>
    </x:row>
    <x:row r="35">
      <x:c r="A35" s="352" t="str">
        <x:v>Costo plan = suma programa recursos</x:v>
      </x:c>
      <x:c r="B35" s="479" t="n">
        <x:f>ABS($I$31-SUM('05_Programa_Recursos'!K7:K14))</x:f>
        <x:v>0</x:v>
      </x:c>
      <x:c r="C35" s="480" t="str">
        <x:f>IF(B35&lt;='01_Parametros'!B17,"OK","REVISAR")</x:f>
        <x:v>OK</x:v>
      </x:c>
      <x:c r="D35" s="352"/>
      <x:c r="E35" s="352"/>
      <x:c r="F35" s="352"/>
      <x:c r="G35" s="352"/>
      <x:c r="H35" s="352"/>
      <x:c r="I35" s="352"/>
      <x:c r="J35" s="352"/>
      <x:c r="K35" s="352"/>
      <x:c r="L35" s="352"/>
      <x:c r="M35" s="352"/>
      <x:c r="N35" s="352"/>
      <x:c r="O35" s="352"/>
      <x:c r="P35" s="352"/>
      <x:c r="Q35" s="352"/>
      <x:c r="R35" s="352"/>
      <x:c r="S35" s="352"/>
    </x:row>
    <x:row r="36">
      <x:c r="A36" s="352" t="str">
        <x:v>Fp dentro de rango</x:v>
      </x:c>
      <x:c r="B36" s="481" t="n">
        <x:f>IF(AND($B$9&gt;0,$B$9&lt;=1),0,1)</x:f>
        <x:v>0</x:v>
      </x:c>
      <x:c r="C36" s="482" t="str">
        <x:f>IF(B36&lt;='01_Parametros'!B17,"OK","REVISAR")</x:f>
        <x:v>OK</x:v>
      </x:c>
      <x:c r="D36" s="352"/>
      <x:c r="E36" s="352"/>
      <x:c r="F36" s="352"/>
      <x:c r="G36" s="352"/>
      <x:c r="H36" s="352"/>
      <x:c r="I36" s="352"/>
      <x:c r="J36" s="352"/>
      <x:c r="K36" s="352"/>
      <x:c r="L36" s="352"/>
      <x:c r="M36" s="352"/>
      <x:c r="N36" s="352"/>
      <x:c r="O36" s="352"/>
      <x:c r="P36" s="352"/>
      <x:c r="Q36" s="352"/>
      <x:c r="R36" s="352"/>
      <x:c r="S36" s="352"/>
    </x:row>
    <x:row r="37">
      <x:c r="A37" s="352"/>
      <x:c r="B37" s="352"/>
      <x:c r="C37" s="352"/>
      <x:c r="D37" s="352"/>
      <x:c r="E37" s="352"/>
      <x:c r="F37" s="352"/>
      <x:c r="G37" s="352"/>
      <x:c r="H37" s="352"/>
      <x:c r="I37" s="352"/>
      <x:c r="J37" s="352"/>
      <x:c r="K37" s="352"/>
      <x:c r="L37" s="352"/>
      <x:c r="M37" s="352"/>
      <x:c r="N37" s="352"/>
      <x:c r="O37" s="352"/>
      <x:c r="P37" s="352"/>
      <x:c r="Q37" s="352"/>
      <x:c r="R37" s="352"/>
      <x:c r="S37" s="352"/>
    </x:row>
    <x:row r="38">
      <x:c r="A38" s="352"/>
      <x:c r="B38" s="352"/>
      <x:c r="C38" s="352"/>
      <x:c r="D38" s="352"/>
      <x:c r="E38" s="352"/>
      <x:c r="F38" s="352"/>
      <x:c r="G38" s="352"/>
      <x:c r="H38" s="352"/>
      <x:c r="I38" s="352"/>
      <x:c r="J38" s="352"/>
      <x:c r="K38" s="352"/>
      <x:c r="L38" s="352"/>
      <x:c r="M38" s="352"/>
      <x:c r="N38" s="352"/>
      <x:c r="O38" s="352"/>
      <x:c r="P38" s="352"/>
      <x:c r="Q38" s="352"/>
      <x:c r="R38" s="352"/>
      <x:c r="S38" s="352"/>
    </x:row>
    <x:row r="39">
      <x:c r="A39" s="352"/>
      <x:c r="B39" s="352"/>
      <x:c r="C39" s="352"/>
      <x:c r="D39" s="352"/>
      <x:c r="E39" s="352"/>
      <x:c r="F39" s="352"/>
      <x:c r="G39" s="352"/>
      <x:c r="H39" s="352"/>
      <x:c r="I39" s="352"/>
      <x:c r="J39" s="352"/>
      <x:c r="K39" s="352"/>
      <x:c r="L39" s="352"/>
      <x:c r="M39" s="352"/>
      <x:c r="N39" s="352"/>
      <x:c r="O39" s="352"/>
      <x:c r="P39" s="352"/>
      <x:c r="Q39" s="352"/>
      <x:c r="R39" s="352"/>
      <x:c r="S39" s="352"/>
    </x:row>
    <x:row r="40">
      <x:c r="A40" s="352"/>
      <x:c r="B40" s="352"/>
      <x:c r="C40" s="352"/>
      <x:c r="D40" s="352"/>
      <x:c r="E40" s="352"/>
      <x:c r="F40" s="352"/>
      <x:c r="G40" s="352"/>
      <x:c r="H40" s="352"/>
      <x:c r="I40" s="352"/>
      <x:c r="J40" s="352"/>
      <x:c r="K40" s="352"/>
      <x:c r="L40" s="352"/>
      <x:c r="M40" s="352"/>
      <x:c r="N40" s="352"/>
      <x:c r="O40" s="352"/>
      <x:c r="P40" s="352"/>
      <x:c r="Q40" s="352"/>
      <x:c r="R40" s="352"/>
      <x:c r="S40" s="352"/>
    </x:row>
    <x:row r="41">
      <x:c r="A41" s="352"/>
      <x:c r="B41" s="352"/>
      <x:c r="C41" s="352"/>
      <x:c r="D41" s="352"/>
      <x:c r="E41" s="352"/>
      <x:c r="F41" s="352"/>
      <x:c r="G41" s="352"/>
      <x:c r="H41" s="352"/>
      <x:c r="I41" s="352"/>
      <x:c r="J41" s="352"/>
      <x:c r="K41" s="352"/>
      <x:c r="L41" s="352"/>
      <x:c r="M41" s="352"/>
      <x:c r="N41" s="352"/>
      <x:c r="O41" s="352"/>
      <x:c r="P41" s="352"/>
      <x:c r="Q41" s="352"/>
      <x:c r="R41" s="352"/>
      <x:c r="S41" s="352"/>
    </x:row>
    <x:row r="42">
      <x:c r="A42" s="352"/>
      <x:c r="B42" s="352"/>
      <x:c r="C42" s="352"/>
      <x:c r="D42" s="352"/>
      <x:c r="E42" s="352"/>
      <x:c r="F42" s="352"/>
      <x:c r="G42" s="352"/>
      <x:c r="H42" s="352"/>
      <x:c r="I42" s="352"/>
      <x:c r="J42" s="352"/>
      <x:c r="K42" s="352"/>
      <x:c r="L42" s="352"/>
      <x:c r="M42" s="352"/>
      <x:c r="N42" s="352"/>
      <x:c r="O42" s="352"/>
      <x:c r="P42" s="352"/>
      <x:c r="Q42" s="352"/>
      <x:c r="R42" s="352"/>
      <x:c r="S42" s="352"/>
    </x:row>
    <x:row r="43">
      <x:c r="A43" s="352"/>
      <x:c r="B43" s="352"/>
      <x:c r="C43" s="352"/>
      <x:c r="D43" s="352"/>
      <x:c r="E43" s="352"/>
      <x:c r="F43" s="352"/>
      <x:c r="G43" s="352"/>
      <x:c r="H43" s="352"/>
      <x:c r="I43" s="352"/>
      <x:c r="J43" s="352"/>
      <x:c r="K43" s="352"/>
      <x:c r="L43" s="352"/>
      <x:c r="M43" s="352"/>
      <x:c r="N43" s="352"/>
      <x:c r="O43" s="352"/>
      <x:c r="P43" s="352"/>
      <x:c r="Q43" s="352"/>
      <x:c r="R43" s="352"/>
      <x:c r="S43" s="352"/>
    </x:row>
    <x:row r="44">
      <x:c r="A44" s="352"/>
      <x:c r="B44" s="352"/>
      <x:c r="C44" s="352"/>
      <x:c r="D44" s="352"/>
      <x:c r="E44" s="352"/>
      <x:c r="F44" s="352"/>
      <x:c r="G44" s="352"/>
      <x:c r="H44" s="352"/>
      <x:c r="I44" s="352"/>
      <x:c r="J44" s="352"/>
      <x:c r="K44" s="352"/>
      <x:c r="L44" s="352"/>
      <x:c r="M44" s="352"/>
      <x:c r="N44" s="352"/>
      <x:c r="O44" s="352"/>
      <x:c r="P44" s="352"/>
      <x:c r="Q44" s="352"/>
      <x:c r="R44" s="352"/>
      <x:c r="S44" s="352"/>
    </x:row>
    <x:row r="45">
      <x:c r="A45" s="352"/>
      <x:c r="B45" s="352"/>
      <x:c r="C45" s="352"/>
      <x:c r="D45" s="352"/>
      <x:c r="E45" s="352"/>
      <x:c r="F45" s="352"/>
      <x:c r="G45" s="352"/>
      <x:c r="H45" s="352"/>
      <x:c r="I45" s="352"/>
      <x:c r="J45" s="352"/>
      <x:c r="K45" s="352"/>
      <x:c r="L45" s="352"/>
      <x:c r="M45" s="352"/>
      <x:c r="N45" s="352"/>
      <x:c r="O45" s="352"/>
      <x:c r="P45" s="352"/>
      <x:c r="Q45" s="352"/>
      <x:c r="R45" s="352"/>
      <x:c r="S45" s="352"/>
    </x:row>
    <x:row r="46">
      <x:c r="A46" s="352"/>
      <x:c r="B46" s="352"/>
      <x:c r="C46" s="352"/>
      <x:c r="D46" s="352"/>
      <x:c r="E46" s="352"/>
      <x:c r="F46" s="352"/>
      <x:c r="G46" s="352"/>
      <x:c r="H46" s="352"/>
      <x:c r="I46" s="352"/>
      <x:c r="J46" s="352"/>
      <x:c r="K46" s="352"/>
      <x:c r="L46" s="352"/>
      <x:c r="M46" s="352"/>
      <x:c r="N46" s="352"/>
      <x:c r="O46" s="352"/>
      <x:c r="P46" s="352"/>
      <x:c r="Q46" s="352"/>
      <x:c r="R46" s="352"/>
      <x:c r="S46" s="352"/>
    </x:row>
    <x:row r="47">
      <x:c r="A47" s="352"/>
      <x:c r="B47" s="352"/>
      <x:c r="C47" s="352"/>
      <x:c r="D47" s="352"/>
      <x:c r="E47" s="352"/>
      <x:c r="F47" s="352"/>
      <x:c r="G47" s="352"/>
      <x:c r="H47" s="352"/>
      <x:c r="I47" s="352"/>
      <x:c r="J47" s="352"/>
      <x:c r="K47" s="352"/>
      <x:c r="L47" s="352"/>
      <x:c r="M47" s="352"/>
      <x:c r="N47" s="352"/>
      <x:c r="O47" s="352"/>
      <x:c r="P47" s="352"/>
      <x:c r="Q47" s="352"/>
      <x:c r="R47" s="352"/>
      <x:c r="S47" s="352"/>
    </x:row>
    <x:row r="48">
      <x:c r="A48" s="352"/>
      <x:c r="B48" s="352"/>
      <x:c r="C48" s="352"/>
      <x:c r="D48" s="352"/>
      <x:c r="E48" s="352"/>
      <x:c r="F48" s="352"/>
      <x:c r="G48" s="352"/>
      <x:c r="H48" s="352"/>
      <x:c r="I48" s="352"/>
      <x:c r="J48" s="352"/>
      <x:c r="K48" s="352"/>
      <x:c r="L48" s="352"/>
      <x:c r="M48" s="352"/>
      <x:c r="N48" s="352"/>
      <x:c r="O48" s="352"/>
      <x:c r="P48" s="352"/>
      <x:c r="Q48" s="352"/>
      <x:c r="R48" s="352"/>
      <x:c r="S48" s="352"/>
    </x:row>
    <x:row r="49">
      <x:c r="A49" s="352"/>
      <x:c r="B49" s="352"/>
      <x:c r="C49" s="352"/>
      <x:c r="D49" s="352"/>
      <x:c r="E49" s="352"/>
      <x:c r="F49" s="352"/>
      <x:c r="G49" s="352"/>
      <x:c r="H49" s="352"/>
      <x:c r="I49" s="352"/>
      <x:c r="J49" s="352"/>
      <x:c r="K49" s="352"/>
      <x:c r="L49" s="352"/>
      <x:c r="M49" s="352"/>
      <x:c r="N49" s="352"/>
      <x:c r="O49" s="352"/>
      <x:c r="P49" s="352"/>
      <x:c r="Q49" s="352"/>
      <x:c r="R49" s="352"/>
      <x:c r="S49" s="352"/>
    </x:row>
    <x:row r="50">
      <x:c r="A50" s="352"/>
      <x:c r="B50" s="352"/>
      <x:c r="C50" s="352"/>
      <x:c r="D50" s="352"/>
      <x:c r="E50" s="352"/>
      <x:c r="F50" s="352"/>
      <x:c r="G50" s="352"/>
      <x:c r="H50" s="352"/>
      <x:c r="I50" s="352"/>
      <x:c r="J50" s="352"/>
      <x:c r="K50" s="352"/>
      <x:c r="L50" s="352"/>
      <x:c r="M50" s="352"/>
      <x:c r="N50" s="352"/>
      <x:c r="O50" s="352"/>
      <x:c r="P50" s="352"/>
      <x:c r="Q50" s="352"/>
      <x:c r="R50" s="352"/>
      <x:c r="S50" s="352"/>
    </x:row>
    <x:row r="51">
      <x:c r="A51" s="352"/>
      <x:c r="B51" s="352"/>
      <x:c r="C51" s="352"/>
      <x:c r="D51" s="352"/>
      <x:c r="E51" s="352"/>
      <x:c r="F51" s="352"/>
      <x:c r="G51" s="352"/>
      <x:c r="H51" s="352"/>
      <x:c r="I51" s="352"/>
      <x:c r="J51" s="352"/>
      <x:c r="K51" s="352"/>
      <x:c r="L51" s="352"/>
      <x:c r="M51" s="352"/>
      <x:c r="N51" s="352"/>
      <x:c r="O51" s="352"/>
      <x:c r="P51" s="352"/>
      <x:c r="Q51" s="352"/>
      <x:c r="R51" s="352"/>
      <x:c r="S51" s="352"/>
    </x:row>
    <x:row r="52">
      <x:c r="A52" s="352"/>
      <x:c r="B52" s="352"/>
      <x:c r="C52" s="352"/>
      <x:c r="D52" s="352"/>
      <x:c r="E52" s="352"/>
      <x:c r="F52" s="352"/>
      <x:c r="G52" s="352"/>
      <x:c r="H52" s="352"/>
      <x:c r="I52" s="352"/>
      <x:c r="J52" s="352"/>
      <x:c r="K52" s="352"/>
      <x:c r="L52" s="352"/>
      <x:c r="M52" s="352"/>
      <x:c r="N52" s="352"/>
      <x:c r="O52" s="352"/>
      <x:c r="P52" s="352"/>
      <x:c r="Q52" s="352"/>
      <x:c r="R52" s="352"/>
      <x:c r="S52" s="352"/>
    </x:row>
    <x:row r="53">
      <x:c r="A53" s="352"/>
      <x:c r="B53" s="352"/>
      <x:c r="C53" s="352"/>
      <x:c r="D53" s="352"/>
      <x:c r="E53" s="352"/>
      <x:c r="F53" s="352"/>
      <x:c r="G53" s="352"/>
      <x:c r="H53" s="352"/>
      <x:c r="I53" s="352"/>
      <x:c r="J53" s="352"/>
      <x:c r="K53" s="352"/>
      <x:c r="L53" s="352"/>
      <x:c r="M53" s="352"/>
      <x:c r="N53" s="352"/>
      <x:c r="O53" s="352"/>
      <x:c r="P53" s="352"/>
      <x:c r="Q53" s="352"/>
      <x:c r="R53" s="352"/>
      <x:c r="S53" s="352"/>
    </x:row>
    <x:row r="54">
      <x:c r="A54" s="352"/>
      <x:c r="B54" s="352"/>
      <x:c r="C54" s="352"/>
      <x:c r="D54" s="352"/>
      <x:c r="E54" s="352"/>
      <x:c r="F54" s="352"/>
      <x:c r="G54" s="352"/>
      <x:c r="H54" s="352"/>
      <x:c r="I54" s="352"/>
      <x:c r="J54" s="352"/>
      <x:c r="K54" s="352"/>
      <x:c r="L54" s="352"/>
      <x:c r="M54" s="352"/>
      <x:c r="N54" s="352"/>
      <x:c r="O54" s="352"/>
      <x:c r="P54" s="352"/>
      <x:c r="Q54" s="352"/>
      <x:c r="R54" s="352"/>
      <x:c r="S54" s="352"/>
    </x:row>
    <x:row r="55">
      <x:c r="A55" s="352"/>
      <x:c r="B55" s="352"/>
      <x:c r="C55" s="352"/>
      <x:c r="D55" s="352"/>
      <x:c r="E55" s="352"/>
      <x:c r="F55" s="352"/>
      <x:c r="G55" s="352"/>
      <x:c r="H55" s="352"/>
      <x:c r="I55" s="352"/>
      <x:c r="J55" s="352"/>
      <x:c r="K55" s="352"/>
      <x:c r="L55" s="352"/>
      <x:c r="M55" s="352"/>
      <x:c r="N55" s="352"/>
      <x:c r="O55" s="352"/>
      <x:c r="P55" s="352"/>
      <x:c r="Q55" s="352"/>
      <x:c r="R55" s="352"/>
      <x:c r="S55" s="352"/>
    </x:row>
    <x:row r="56">
      <x:c r="A56" s="352"/>
      <x:c r="B56" s="352"/>
      <x:c r="C56" s="352"/>
      <x:c r="D56" s="352"/>
      <x:c r="E56" s="352"/>
      <x:c r="F56" s="352"/>
      <x:c r="G56" s="352"/>
      <x:c r="H56" s="352"/>
      <x:c r="I56" s="352"/>
      <x:c r="J56" s="352"/>
      <x:c r="K56" s="352"/>
      <x:c r="L56" s="352"/>
      <x:c r="M56" s="352"/>
      <x:c r="N56" s="352"/>
      <x:c r="O56" s="352"/>
      <x:c r="P56" s="352"/>
      <x:c r="Q56" s="352"/>
      <x:c r="R56" s="352"/>
      <x:c r="S56" s="352"/>
    </x:row>
    <x:row r="57">
      <x:c r="A57" s="352"/>
      <x:c r="B57" s="352"/>
      <x:c r="C57" s="352"/>
      <x:c r="D57" s="352"/>
      <x:c r="E57" s="352"/>
      <x:c r="F57" s="352"/>
      <x:c r="G57" s="352"/>
      <x:c r="H57" s="352"/>
      <x:c r="I57" s="352"/>
      <x:c r="J57" s="352"/>
      <x:c r="K57" s="352"/>
      <x:c r="L57" s="352"/>
      <x:c r="M57" s="352"/>
      <x:c r="N57" s="352"/>
      <x:c r="O57" s="352"/>
      <x:c r="P57" s="352"/>
      <x:c r="Q57" s="352"/>
      <x:c r="R57" s="352"/>
      <x:c r="S57" s="352"/>
    </x:row>
    <x:row r="58">
      <x:c r="A58" s="352"/>
      <x:c r="B58" s="352"/>
      <x:c r="C58" s="352"/>
      <x:c r="D58" s="352"/>
      <x:c r="E58" s="352"/>
      <x:c r="F58" s="352"/>
      <x:c r="G58" s="352"/>
      <x:c r="H58" s="352"/>
      <x:c r="I58" s="352"/>
      <x:c r="J58" s="352"/>
      <x:c r="K58" s="352"/>
      <x:c r="L58" s="352"/>
      <x:c r="M58" s="352"/>
      <x:c r="N58" s="352"/>
      <x:c r="O58" s="352"/>
      <x:c r="P58" s="352"/>
      <x:c r="Q58" s="352"/>
      <x:c r="R58" s="352"/>
      <x:c r="S58" s="352"/>
    </x:row>
    <x:row r="59">
      <x:c r="A59" s="352"/>
      <x:c r="B59" s="352"/>
      <x:c r="C59" s="352"/>
      <x:c r="D59" s="352"/>
      <x:c r="E59" s="352"/>
      <x:c r="F59" s="352"/>
      <x:c r="G59" s="352"/>
      <x:c r="H59" s="352"/>
      <x:c r="I59" s="352"/>
      <x:c r="J59" s="352"/>
      <x:c r="K59" s="352"/>
      <x:c r="L59" s="352"/>
      <x:c r="M59" s="352"/>
      <x:c r="N59" s="352"/>
      <x:c r="O59" s="352"/>
      <x:c r="P59" s="352"/>
      <x:c r="Q59" s="352"/>
      <x:c r="R59" s="352"/>
      <x:c r="S59" s="352"/>
    </x:row>
    <x:row r="60">
      <x:c r="A60" s="352"/>
      <x:c r="B60" s="352"/>
      <x:c r="C60" s="352"/>
      <x:c r="D60" s="352"/>
      <x:c r="E60" s="352"/>
      <x:c r="F60" s="352"/>
      <x:c r="G60" s="352"/>
      <x:c r="H60" s="352"/>
      <x:c r="I60" s="352"/>
      <x:c r="J60" s="352"/>
      <x:c r="K60" s="352"/>
      <x:c r="L60" s="352"/>
      <x:c r="M60" s="352"/>
      <x:c r="N60" s="352"/>
      <x:c r="O60" s="352"/>
      <x:c r="P60" s="352"/>
      <x:c r="Q60" s="352"/>
      <x:c r="R60" s="352"/>
      <x:c r="S60" s="352"/>
    </x:row>
  </x:sheetData>
  <x:mergeCells>
    <x:mergeCell ref="A1:J2"/>
    <x:mergeCell ref="A4:C4"/>
    <x:mergeCell ref="E4:G4"/>
    <x:mergeCell ref="A18:J18"/>
    <x:mergeCell ref="A24:E24"/>
    <x:mergeCell ref="G24:J24"/>
    <x:mergeCell ref="A31:E31"/>
  </x:mergeCells>
  <x:conditionalFormatting sqref="C33:C36">
    <x:cfRule type="expression" dxfId="0" priority="1">
      <x:formula>C33="OK"</x:formula>
    </x:cfRule>
    <x:cfRule type="expression" dxfId="1" priority="2">
      <x:formula>C33="REVISAR"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18" hidden="0" customWidth="1"/>
    <x:col min="4" max="4" width="18" hidden="0" customWidth="1"/>
    <x:col min="5" max="5" width="15" hidden="0" customWidth="1"/>
    <x:col min="6" max="6" width="15" hidden="0" customWidth="1"/>
    <x:col min="7" max="7" width="16" hidden="0" customWidth="1"/>
    <x:col min="8" max="8" width="18" hidden="0" customWidth="1"/>
    <x:col min="9" max="9" width="17" hidden="0" customWidth="1"/>
    <x:col min="10" max="10" width="17" hidden="0" customWidth="1"/>
    <x:col min="11" max="11" width="18" hidden="0" customWidth="1"/>
  </x:cols>
  <x:sheetData>
    <x:row r="1" ht="34" customHeight="1">
      <x:c r="A1" s="5" t="str">
        <x:v>04 · ANÁLISIS DE ESCENARIOS DE PLANIFICACIÓN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  <x:c r="N1" s="352"/>
      <x:c r="O1" s="352"/>
      <x:c r="P1" s="352"/>
      <x:c r="Q1" s="352"/>
      <x:c r="R1" s="352"/>
      <x:c r="S1" s="352"/>
    </x:row>
    <x:row r="2">
      <x:c r="A2" s="352"/>
      <x:c r="B2" s="352"/>
      <x:c r="C2" s="352"/>
      <x:c r="D2" s="352"/>
      <x:c r="E2" s="352"/>
      <x:c r="F2" s="352"/>
      <x:c r="G2" s="352"/>
      <x:c r="H2" s="352"/>
      <x:c r="I2" s="352"/>
      <x:c r="J2" s="352"/>
      <x:c r="K2" s="352"/>
      <x:c r="L2" s="352"/>
      <x:c r="M2" s="352"/>
      <x:c r="N2" s="352"/>
      <x:c r="O2" s="352"/>
      <x:c r="P2" s="352"/>
      <x:c r="Q2" s="352"/>
      <x:c r="R2" s="352"/>
      <x:c r="S2" s="352"/>
    </x:row>
    <x:row r="3">
      <x:c r="A3" s="352"/>
      <x:c r="B3" s="352"/>
      <x:c r="C3" s="352"/>
      <x:c r="D3" s="352"/>
      <x:c r="E3" s="352"/>
      <x:c r="F3" s="352"/>
      <x:c r="G3" s="352"/>
      <x:c r="H3" s="352"/>
      <x:c r="I3" s="352"/>
      <x:c r="J3" s="352"/>
      <x:c r="K3" s="352"/>
      <x:c r="L3" s="352"/>
      <x:c r="M3" s="352"/>
      <x:c r="N3" s="352"/>
      <x:c r="O3" s="352"/>
      <x:c r="P3" s="352"/>
      <x:c r="Q3" s="352"/>
      <x:c r="R3" s="352"/>
      <x:c r="S3" s="352"/>
    </x:row>
    <x:row r="4">
      <x:c r="A4" s="244" t="str">
        <x:v>Cambie o amplíe los factores de planificación para evaluar capacidad, plazo, trabajo, consumo de equipos y costo antes de aprobar la línea base. Ningún valor de esta hoja representa ejecución real.</x:v>
      </x:c>
      <x:c r="B4" s="352"/>
      <x:c r="C4" s="352"/>
      <x:c r="D4" s="352"/>
      <x:c r="E4" s="352"/>
      <x:c r="F4" s="352"/>
      <x:c r="G4" s="352"/>
      <x:c r="H4" s="352"/>
      <x:c r="I4" s="352"/>
      <x:c r="J4" s="352"/>
      <x:c r="K4" s="352"/>
      <x:c r="L4" s="352"/>
      <x:c r="M4" s="352"/>
      <x:c r="N4" s="352"/>
      <x:c r="O4" s="352"/>
      <x:c r="P4" s="352"/>
      <x:c r="Q4" s="352"/>
      <x:c r="R4" s="352"/>
      <x:c r="S4" s="352"/>
    </x:row>
    <x:row r="5">
      <x:c r="A5" s="352"/>
      <x:c r="B5" s="352"/>
      <x:c r="C5" s="352"/>
      <x:c r="D5" s="352"/>
      <x:c r="E5" s="352"/>
      <x:c r="F5" s="352"/>
      <x:c r="G5" s="352"/>
      <x:c r="H5" s="352"/>
      <x:c r="I5" s="352"/>
      <x:c r="J5" s="352"/>
      <x:c r="K5" s="352"/>
      <x:c r="L5" s="352"/>
      <x:c r="M5" s="352"/>
      <x:c r="N5" s="352"/>
      <x:c r="O5" s="352"/>
      <x:c r="P5" s="352"/>
      <x:c r="Q5" s="352"/>
      <x:c r="R5" s="352"/>
      <x:c r="S5" s="352"/>
    </x:row>
    <x:row r="6">
      <x:c r="A6" s="352"/>
      <x:c r="B6" s="352"/>
      <x:c r="C6" s="352"/>
      <x:c r="D6" s="352"/>
      <x:c r="E6" s="352"/>
      <x:c r="F6" s="352"/>
      <x:c r="G6" s="352"/>
      <x:c r="H6" s="352"/>
      <x:c r="I6" s="352"/>
      <x:c r="J6" s="352"/>
      <x:c r="K6" s="352"/>
      <x:c r="L6" s="352"/>
      <x:c r="M6" s="352"/>
      <x:c r="N6" s="352"/>
      <x:c r="O6" s="352"/>
      <x:c r="P6" s="352"/>
      <x:c r="Q6" s="352"/>
      <x:c r="R6" s="352"/>
      <x:c r="S6" s="352"/>
    </x:row>
    <x:row r="7" ht="30" customHeight="1">
      <x:c r="A7" s="78" t="str">
        <x:v>Escenario</x:v>
      </x:c>
      <x:c r="B7" s="78" t="str">
        <x:v>Fp</x:v>
      </x:c>
      <x:c r="C7" s="78" t="str">
        <x:v>Producción m²/h</x:v>
      </x:c>
      <x:c r="D7" s="78" t="str">
        <x:v>Producción m²/día</x:v>
      </x:c>
      <x:c r="E7" s="78" t="str">
        <x:v>Duración h</x:v>
      </x:c>
      <x:c r="F7" s="78" t="str">
        <x:v>Duración días</x:v>
      </x:c>
      <x:c r="G7" s="78" t="str">
        <x:v>Trabajo MO HH</x:v>
      </x:c>
      <x:c r="H7" s="78" t="str">
        <x:v>Consumo equipos EH</x:v>
      </x:c>
      <x:c r="I7" s="78" t="str">
        <x:v>Costo directo/u</x:v>
      </x:c>
      <x:c r="J7" s="78" t="str">
        <x:v>Precio unitario</x:v>
      </x:c>
      <x:c r="K7" s="78" t="str">
        <x:v>Total planificado</x:v>
      </x:c>
      <x:c r="L7" s="352"/>
      <x:c r="M7" s="352"/>
      <x:c r="N7" s="352"/>
      <x:c r="O7" s="352"/>
      <x:c r="P7" s="352"/>
      <x:c r="Q7" s="352"/>
      <x:c r="R7" s="352"/>
      <x:c r="S7" s="352"/>
    </x:row>
    <x:row r="8">
      <x:c r="A8" s="392" t="str">
        <x:v>Teórico</x:v>
      </x:c>
      <x:c r="B8" s="494" t="n">
        <x:v>1</x:v>
      </x:c>
      <x:c r="C8" s="397" t="n">
        <x:f>'03_Calculos_Plan'!$B$8*B8</x:f>
        <x:v>50</x:v>
      </x:c>
      <x:c r="D8" s="401" t="n">
        <x:f>C8*'01_Parametros'!$B$11</x:f>
        <x:v>400</x:v>
      </x:c>
      <x:c r="E8" s="401" t="n">
        <x:f>'03_Calculos_Plan'!$B$6/C8</x:f>
        <x:v>2.3124000000000002</x:v>
      </x:c>
      <x:c r="F8" s="401" t="n">
        <x:f>E8/'01_Parametros'!$B$11</x:f>
        <x:v>0.28905000000000003</x:v>
      </x:c>
      <x:c r="G8" s="401" t="n">
        <x:f>'03_Calculos_Plan'!$F$8/B8</x:f>
        <x:v>7.630920000000001</x:v>
      </x:c>
      <x:c r="H8" s="401" t="n">
        <x:f>SUM('03_Calculos_Plan'!$G$20:$G$21)/B8</x:f>
        <x:v>6.937200000000001</x:v>
      </x:c>
      <x:c r="I8" s="399" t="n">
        <x:f>IF('01_Parametros'!$B$15="Exacto",'03_Calculos_Plan'!$H$27+('03_Calculos_Plan'!$H$26+'03_Calculos_Plan'!$H$28)/B8,'02_APU_Recursos'!$C$20+('02_APU_Recursos'!$C$19+'02_APU_Recursos'!$C$21)/B8)</x:f>
        <x:v>0.8522000000000001</x:v>
      </x:c>
      <x:c r="J8" s="399" t="n">
        <x:f>I8+'01_Parametros'!$B$14</x:f>
        <x:v>1.0322</x:v>
      </x:c>
      <x:c r="K8" s="427" t="n">
        <x:f>J8*'03_Calculos_Plan'!$B$6</x:f>
        <x:v>119.34296400000001</x:v>
      </x:c>
      <x:c r="L8" s="352"/>
      <x:c r="M8" s="352"/>
      <x:c r="N8" s="352"/>
      <x:c r="O8" s="352"/>
      <x:c r="P8" s="352"/>
      <x:c r="Q8" s="352"/>
      <x:c r="R8" s="352"/>
      <x:c r="S8" s="352"/>
    </x:row>
    <x:row r="9">
      <x:c r="A9" s="403" t="str">
        <x:v>Favorable</x:v>
      </x:c>
      <x:c r="B9" s="495" t="n">
        <x:v>0.95</x:v>
      </x:c>
      <x:c r="C9" s="408" t="n">
        <x:f>'03_Calculos_Plan'!$B$8*B9</x:f>
        <x:v>47.5</x:v>
      </x:c>
      <x:c r="D9" s="412" t="n">
        <x:f>C9*'01_Parametros'!$B$11</x:f>
        <x:v>380</x:v>
      </x:c>
      <x:c r="E9" s="412" t="n">
        <x:f>'03_Calculos_Plan'!$B$6/C9</x:f>
        <x:v>2.4341052631578948</x:v>
      </x:c>
      <x:c r="F9" s="412" t="n">
        <x:f>E9/'01_Parametros'!$B$11</x:f>
        <x:v>0.30426315789473685</x:v>
      </x:c>
      <x:c r="G9" s="412" t="n">
        <x:f>'03_Calculos_Plan'!$F$8/B9</x:f>
        <x:v>8.032547368421053</x:v>
      </x:c>
      <x:c r="H9" s="412" t="n">
        <x:f>SUM('03_Calculos_Plan'!$G$20:$G$21)/B9</x:f>
        <x:v>7.302315789473686</x:v>
      </x:c>
      <x:c r="I9" s="410" t="n">
        <x:f>IF('01_Parametros'!$B$15="Exacto",'03_Calculos_Plan'!$H$27+('03_Calculos_Plan'!$H$26+'03_Calculos_Plan'!$H$28)/B9,'02_APU_Recursos'!$C$20+('02_APU_Recursos'!$C$19+'02_APU_Recursos'!$C$21)/B9)</x:f>
        <x:v>0.8770789473684211</x:v>
      </x:c>
      <x:c r="J9" s="410" t="n">
        <x:f>I9+'01_Parametros'!$B$14</x:f>
        <x:v>1.057078947368421</x:v>
      </x:c>
      <x:c r="K9" s="429" t="n">
        <x:f>J9*'03_Calculos_Plan'!$B$6</x:f>
        <x:v>122.21946789473684</x:v>
      </x:c>
      <x:c r="L9" s="352"/>
      <x:c r="M9" s="352"/>
      <x:c r="N9" s="352"/>
      <x:c r="O9" s="352"/>
      <x:c r="P9" s="352"/>
      <x:c r="Q9" s="352"/>
      <x:c r="R9" s="352"/>
      <x:c r="S9" s="352"/>
    </x:row>
    <x:row r="10">
      <x:c r="A10" s="403" t="str">
        <x:v>Moderado</x:v>
      </x:c>
      <x:c r="B10" s="495" t="n">
        <x:v>0.9</x:v>
      </x:c>
      <x:c r="C10" s="408" t="n">
        <x:f>'03_Calculos_Plan'!$B$8*B10</x:f>
        <x:v>45</x:v>
      </x:c>
      <x:c r="D10" s="412" t="n">
        <x:f>C10*'01_Parametros'!$B$11</x:f>
        <x:v>360</x:v>
      </x:c>
      <x:c r="E10" s="412" t="n">
        <x:f>'03_Calculos_Plan'!$B$6/C10</x:f>
        <x:v>2.5693333333333332</x:v>
      </x:c>
      <x:c r="F10" s="412" t="n">
        <x:f>E10/'01_Parametros'!$B$11</x:f>
        <x:v>0.32116666666666666</x:v>
      </x:c>
      <x:c r="G10" s="412" t="n">
        <x:f>'03_Calculos_Plan'!$F$8/B10</x:f>
        <x:v>8.4788</x:v>
      </x:c>
      <x:c r="H10" s="412" t="n">
        <x:f>SUM('03_Calculos_Plan'!$G$20:$G$21)/B10</x:f>
        <x:v>7.708</x:v>
      </x:c>
      <x:c r="I10" s="410" t="n">
        <x:f>IF('01_Parametros'!$B$15="Exacto",'03_Calculos_Plan'!$H$27+('03_Calculos_Plan'!$H$26+'03_Calculos_Plan'!$H$28)/B10,'02_APU_Recursos'!$C$20+('02_APU_Recursos'!$C$19+'02_APU_Recursos'!$C$21)/B10)</x:f>
        <x:v>0.9047222222222222</x:v>
      </x:c>
      <x:c r="J10" s="410" t="n">
        <x:f>I10+'01_Parametros'!$B$14</x:f>
        <x:v>1.0847222222222221</x:v>
      </x:c>
      <x:c r="K10" s="429" t="n">
        <x:f>J10*'03_Calculos_Plan'!$B$6</x:f>
        <x:v>125.41558333333333</x:v>
      </x:c>
      <x:c r="L10" s="352"/>
      <x:c r="M10" s="352"/>
      <x:c r="N10" s="352"/>
      <x:c r="O10" s="352"/>
      <x:c r="P10" s="352"/>
      <x:c r="Q10" s="352"/>
      <x:c r="R10" s="352"/>
      <x:c r="S10" s="352"/>
    </x:row>
    <x:row r="11">
      <x:c r="A11" s="403" t="str">
        <x:v>Base</x:v>
      </x:c>
      <x:c r="B11" s="495" t="n">
        <x:v>0.85</x:v>
      </x:c>
      <x:c r="C11" s="408" t="n">
        <x:f>'03_Calculos_Plan'!$B$8*B11</x:f>
        <x:v>42.5</x:v>
      </x:c>
      <x:c r="D11" s="412" t="n">
        <x:f>C11*'01_Parametros'!$B$11</x:f>
        <x:v>340</x:v>
      </x:c>
      <x:c r="E11" s="412" t="n">
        <x:f>'03_Calculos_Plan'!$B$6/C11</x:f>
        <x:v>2.7204705882352944</x:v>
      </x:c>
      <x:c r="F11" s="412" t="n">
        <x:f>E11/'01_Parametros'!$B$11</x:f>
        <x:v>0.3400588235294118</x:v>
      </x:c>
      <x:c r="G11" s="412" t="n">
        <x:f>'03_Calculos_Plan'!$F$8/B11</x:f>
        <x:v>8.977552941176471</x:v>
      </x:c>
      <x:c r="H11" s="412" t="n">
        <x:f>SUM('03_Calculos_Plan'!$G$20:$G$21)/B11</x:f>
        <x:v>8.161411764705884</x:v>
      </x:c>
      <x:c r="I11" s="410" t="n">
        <x:f>IF('01_Parametros'!$B$15="Exacto",'03_Calculos_Plan'!$H$27+('03_Calculos_Plan'!$H$26+'03_Calculos_Plan'!$H$28)/B11,'02_APU_Recursos'!$C$20+('02_APU_Recursos'!$C$19+'02_APU_Recursos'!$C$21)/B11)</x:f>
        <x:v>0.9356176470588236</x:v>
      </x:c>
      <x:c r="J11" s="410" t="n">
        <x:f>I11+'01_Parametros'!$B$14</x:f>
        <x:v>1.1156176470588235</x:v>
      </x:c>
      <x:c r="K11" s="429" t="n">
        <x:f>J11*'03_Calculos_Plan'!$B$6</x:f>
        <x:v>128.98771235294117</x:v>
      </x:c>
      <x:c r="L11" s="352"/>
      <x:c r="M11" s="352"/>
      <x:c r="N11" s="352"/>
      <x:c r="O11" s="352"/>
      <x:c r="P11" s="352"/>
      <x:c r="Q11" s="352"/>
      <x:c r="R11" s="352"/>
      <x:c r="S11" s="352"/>
    </x:row>
    <x:row r="12">
      <x:c r="A12" s="403" t="str">
        <x:v>Conservador</x:v>
      </x:c>
      <x:c r="B12" s="495" t="n">
        <x:v>0.8</x:v>
      </x:c>
      <x:c r="C12" s="408" t="n">
        <x:f>'03_Calculos_Plan'!$B$8*B12</x:f>
        <x:v>40</x:v>
      </x:c>
      <x:c r="D12" s="412" t="n">
        <x:f>C12*'01_Parametros'!$B$11</x:f>
        <x:v>320</x:v>
      </x:c>
      <x:c r="E12" s="412" t="n">
        <x:f>'03_Calculos_Plan'!$B$6/C12</x:f>
        <x:v>2.8905000000000003</x:v>
      </x:c>
      <x:c r="F12" s="412" t="n">
        <x:f>E12/'01_Parametros'!$B$11</x:f>
        <x:v>0.36131250000000004</x:v>
      </x:c>
      <x:c r="G12" s="412" t="n">
        <x:f>'03_Calculos_Plan'!$F$8/B12</x:f>
        <x:v>9.53865</x:v>
      </x:c>
      <x:c r="H12" s="412" t="n">
        <x:f>SUM('03_Calculos_Plan'!$G$20:$G$21)/B12</x:f>
        <x:v>8.6715</x:v>
      </x:c>
      <x:c r="I12" s="410" t="n">
        <x:f>IF('01_Parametros'!$B$15="Exacto",'03_Calculos_Plan'!$H$27+('03_Calculos_Plan'!$H$26+'03_Calculos_Plan'!$H$28)/B12,'02_APU_Recursos'!$C$20+('02_APU_Recursos'!$C$19+'02_APU_Recursos'!$C$21)/B12)</x:f>
        <x:v>0.970375</x:v>
      </x:c>
      <x:c r="J12" s="410" t="n">
        <x:f>I12+'01_Parametros'!$B$14</x:f>
        <x:v>1.150375</x:v>
      </x:c>
      <x:c r="K12" s="429" t="n">
        <x:f>J12*'03_Calculos_Plan'!$B$6</x:f>
        <x:v>133.0063575</x:v>
      </x:c>
      <x:c r="L12" s="352"/>
      <x:c r="M12" s="352"/>
      <x:c r="N12" s="352"/>
      <x:c r="O12" s="352"/>
      <x:c r="P12" s="352"/>
      <x:c r="Q12" s="352"/>
      <x:c r="R12" s="352"/>
      <x:c r="S12" s="352"/>
    </x:row>
    <x:row r="13">
      <x:c r="A13" s="403" t="str">
        <x:v>Restrictivo</x:v>
      </x:c>
      <x:c r="B13" s="495" t="n">
        <x:v>0.75</x:v>
      </x:c>
      <x:c r="C13" s="408" t="n">
        <x:f>'03_Calculos_Plan'!$B$8*B13</x:f>
        <x:v>37.5</x:v>
      </x:c>
      <x:c r="D13" s="412" t="n">
        <x:f>C13*'01_Parametros'!$B$11</x:f>
        <x:v>300</x:v>
      </x:c>
      <x:c r="E13" s="412" t="n">
        <x:f>'03_Calculos_Plan'!$B$6/C13</x:f>
        <x:v>3.0832</x:v>
      </x:c>
      <x:c r="F13" s="412" t="n">
        <x:f>E13/'01_Parametros'!$B$11</x:f>
        <x:v>0.3854</x:v>
      </x:c>
      <x:c r="G13" s="412" t="n">
        <x:f>'03_Calculos_Plan'!$F$8/B13</x:f>
        <x:v>10.174560000000001</x:v>
      </x:c>
      <x:c r="H13" s="412" t="n">
        <x:f>SUM('03_Calculos_Plan'!$G$20:$G$21)/B13</x:f>
        <x:v>9.249600000000001</x:v>
      </x:c>
      <x:c r="I13" s="410" t="n">
        <x:f>IF('01_Parametros'!$B$15="Exacto",'03_Calculos_Plan'!$H$27+('03_Calculos_Plan'!$H$26+'03_Calculos_Plan'!$H$28)/B13,'02_APU_Recursos'!$C$20+('02_APU_Recursos'!$C$19+'02_APU_Recursos'!$C$21)/B13)</x:f>
        <x:v>1.0097666666666667</x:v>
      </x:c>
      <x:c r="J13" s="410" t="n">
        <x:f>I13+'01_Parametros'!$B$14</x:f>
        <x:v>1.1897666666666666</x:v>
      </x:c>
      <x:c r="K13" s="429" t="n">
        <x:f>J13*'03_Calculos_Plan'!$B$6</x:f>
        <x:v>137.560822</x:v>
      </x:c>
      <x:c r="L13" s="352"/>
      <x:c r="M13" s="352"/>
      <x:c r="N13" s="352"/>
      <x:c r="O13" s="352"/>
      <x:c r="P13" s="352"/>
      <x:c r="Q13" s="352"/>
      <x:c r="R13" s="352"/>
      <x:c r="S13" s="352"/>
    </x:row>
    <x:row r="14">
      <x:c r="A14" s="414" t="str">
        <x:v>Crítico</x:v>
      </x:c>
      <x:c r="B14" s="496" t="n">
        <x:v>0.7</x:v>
      </x:c>
      <x:c r="C14" s="419" t="n">
        <x:f>'03_Calculos_Plan'!$B$8*B14</x:f>
        <x:v>35</x:v>
      </x:c>
      <x:c r="D14" s="423" t="n">
        <x:f>C14*'01_Parametros'!$B$11</x:f>
        <x:v>280</x:v>
      </x:c>
      <x:c r="E14" s="423" t="n">
        <x:f>'03_Calculos_Plan'!$B$6/C14</x:f>
        <x:v>3.3034285714285714</x:v>
      </x:c>
      <x:c r="F14" s="423" t="n">
        <x:f>E14/'01_Parametros'!$B$11</x:f>
        <x:v>0.4129285714285714</x:v>
      </x:c>
      <x:c r="G14" s="423" t="n">
        <x:f>'03_Calculos_Plan'!$F$8/B14</x:f>
        <x:v>10.901314285714287</x:v>
      </x:c>
      <x:c r="H14" s="423" t="n">
        <x:f>SUM('03_Calculos_Plan'!$G$20:$G$21)/B14</x:f>
        <x:v>9.910285714285715</x:v>
      </x:c>
      <x:c r="I14" s="421" t="n">
        <x:f>IF('01_Parametros'!$B$15="Exacto",'03_Calculos_Plan'!$H$27+('03_Calculos_Plan'!$H$26+'03_Calculos_Plan'!$H$28)/B14,'02_APU_Recursos'!$C$20+('02_APU_Recursos'!$C$19+'02_APU_Recursos'!$C$21)/B14)</x:f>
        <x:v>1.0547857142857144</x:v>
      </x:c>
      <x:c r="J14" s="421" t="n">
        <x:f>I14+'01_Parametros'!$B$14</x:f>
        <x:v>1.2347857142857144</x:v>
      </x:c>
      <x:c r="K14" s="431" t="n">
        <x:f>J14*'03_Calculos_Plan'!$B$6</x:f>
        <x:v>142.7659242857143</x:v>
      </x:c>
      <x:c r="L14" s="352"/>
      <x:c r="M14" s="352"/>
      <x:c r="N14" s="352"/>
      <x:c r="O14" s="352"/>
      <x:c r="P14" s="352"/>
      <x:c r="Q14" s="352"/>
      <x:c r="R14" s="352"/>
      <x:c r="S14" s="352"/>
    </x:row>
    <x:row r="15">
      <x:c r="A15" s="352"/>
      <x:c r="B15" s="352"/>
      <x:c r="C15" s="352"/>
      <x:c r="D15" s="352"/>
      <x:c r="E15" s="352"/>
      <x:c r="F15" s="352"/>
      <x:c r="G15" s="352"/>
      <x:c r="H15" s="352"/>
      <x:c r="I15" s="352"/>
      <x:c r="J15" s="352"/>
      <x:c r="K15" s="352"/>
      <x:c r="L15" s="352"/>
      <x:c r="M15" s="352"/>
      <x:c r="N15" s="352"/>
      <x:c r="O15" s="352"/>
      <x:c r="P15" s="352"/>
      <x:c r="Q15" s="352"/>
      <x:c r="R15" s="352"/>
      <x:c r="S15" s="352"/>
    </x:row>
    <x:row r="16">
      <x:c r="A16" s="352"/>
      <x:c r="B16" s="352"/>
      <x:c r="C16" s="352"/>
      <x:c r="D16" s="352"/>
      <x:c r="E16" s="352"/>
      <x:c r="F16" s="352"/>
      <x:c r="G16" s="352"/>
      <x:c r="H16" s="352"/>
      <x:c r="I16" s="352"/>
      <x:c r="J16" s="352"/>
      <x:c r="K16" s="352"/>
      <x:c r="L16" s="352"/>
      <x:c r="M16" s="352"/>
      <x:c r="N16" s="352"/>
      <x:c r="O16" s="352"/>
      <x:c r="P16" s="352"/>
      <x:c r="Q16" s="352"/>
      <x:c r="R16" s="352"/>
      <x:c r="S16" s="352"/>
    </x:row>
    <x:row r="17" ht="22" customHeight="1">
      <x:c r="A17" s="21" t="str">
        <x:v>CRITERIO DE SELECCIÓN DE LÍNEA BASE</x:v>
      </x:c>
      <x:c r="B17" s="352"/>
      <x:c r="C17" s="352"/>
      <x:c r="D17" s="352"/>
      <x:c r="E17" s="352"/>
      <x:c r="F17" s="352"/>
      <x:c r="G17" s="352"/>
      <x:c r="H17" s="352"/>
      <x:c r="I17" s="352"/>
      <x:c r="J17" s="352"/>
      <x:c r="K17" s="352"/>
      <x:c r="L17" s="352"/>
      <x:c r="M17" s="352"/>
      <x:c r="N17" s="352"/>
      <x:c r="O17" s="352"/>
      <x:c r="P17" s="352"/>
      <x:c r="Q17" s="352"/>
      <x:c r="R17" s="352"/>
      <x:c r="S17" s="352"/>
    </x:row>
    <x:row r="18">
      <x:c r="A18" s="497" t="str">
        <x:v>La línea base se aprueba cuando: (1) el factor está sustentado; (2) la producción es compatible con el método constructivo; (3) la duración cabe en el cronograma; (4) la cuadrilla y equipos están disponibles; (5) el costo planificado está dentro del presupuesto objetivo; y (6) las unidades y relaciones dimensionales han sido validadas.</x:v>
      </x:c>
      <x:c r="B18" s="352"/>
      <x:c r="C18" s="352"/>
      <x:c r="D18" s="352"/>
      <x:c r="E18" s="352"/>
      <x:c r="F18" s="352"/>
      <x:c r="G18" s="352"/>
      <x:c r="H18" s="352"/>
      <x:c r="I18" s="352"/>
      <x:c r="J18" s="352"/>
      <x:c r="K18" s="352"/>
      <x:c r="L18" s="352"/>
      <x:c r="M18" s="352"/>
      <x:c r="N18" s="352"/>
      <x:c r="O18" s="352"/>
      <x:c r="P18" s="352"/>
      <x:c r="Q18" s="352"/>
      <x:c r="R18" s="352"/>
      <x:c r="S18" s="352"/>
    </x:row>
    <x:row r="19">
      <x:c r="A19" s="352"/>
      <x:c r="B19" s="352"/>
      <x:c r="C19" s="352"/>
      <x:c r="D19" s="352"/>
      <x:c r="E19" s="352"/>
      <x:c r="F19" s="352"/>
      <x:c r="G19" s="352"/>
      <x:c r="H19" s="352"/>
      <x:c r="I19" s="352"/>
      <x:c r="J19" s="352"/>
      <x:c r="K19" s="352"/>
      <x:c r="L19" s="352"/>
      <x:c r="M19" s="352"/>
      <x:c r="N19" s="352"/>
      <x:c r="O19" s="352"/>
      <x:c r="P19" s="352"/>
      <x:c r="Q19" s="352"/>
      <x:c r="R19" s="352"/>
      <x:c r="S19" s="352"/>
    </x:row>
    <x:row r="20">
      <x:c r="A20" s="352"/>
      <x:c r="B20" s="352"/>
      <x:c r="C20" s="352"/>
      <x:c r="D20" s="352"/>
      <x:c r="E20" s="352"/>
      <x:c r="F20" s="352"/>
      <x:c r="G20" s="352"/>
      <x:c r="H20" s="352"/>
      <x:c r="I20" s="352"/>
      <x:c r="J20" s="352"/>
      <x:c r="K20" s="352"/>
      <x:c r="L20" s="352"/>
      <x:c r="M20" s="352"/>
      <x:c r="N20" s="352"/>
      <x:c r="O20" s="352"/>
      <x:c r="P20" s="352"/>
      <x:c r="Q20" s="352"/>
      <x:c r="R20" s="352"/>
      <x:c r="S20" s="352"/>
    </x:row>
    <x:row r="21">
      <x:c r="A21" s="352"/>
      <x:c r="B21" s="352"/>
      <x:c r="C21" s="352"/>
      <x:c r="D21" s="352"/>
      <x:c r="E21" s="352"/>
      <x:c r="F21" s="352"/>
      <x:c r="G21" s="352"/>
      <x:c r="H21" s="352"/>
      <x:c r="I21" s="352"/>
      <x:c r="J21" s="352"/>
      <x:c r="K21" s="352"/>
      <x:c r="L21" s="352"/>
      <x:c r="M21" s="352"/>
      <x:c r="N21" s="352"/>
      <x:c r="O21" s="352"/>
      <x:c r="P21" s="352"/>
      <x:c r="Q21" s="352"/>
      <x:c r="R21" s="352"/>
      <x:c r="S21" s="352"/>
    </x:row>
    <x:row r="22">
      <x:c r="A22" s="352"/>
      <x:c r="B22" s="352"/>
      <x:c r="C22" s="352"/>
      <x:c r="D22" s="352"/>
      <x:c r="E22" s="352"/>
      <x:c r="F22" s="352"/>
      <x:c r="G22" s="352"/>
      <x:c r="H22" s="352"/>
      <x:c r="I22" s="352"/>
      <x:c r="J22" s="352"/>
      <x:c r="K22" s="352"/>
      <x:c r="L22" s="352"/>
      <x:c r="M22" s="352"/>
      <x:c r="N22" s="352"/>
      <x:c r="O22" s="352"/>
      <x:c r="P22" s="352"/>
      <x:c r="Q22" s="352"/>
      <x:c r="R22" s="352"/>
      <x:c r="S22" s="352"/>
    </x:row>
    <x:row r="23">
      <x:c r="A23" s="352"/>
      <x:c r="B23" s="352"/>
      <x:c r="C23" s="352"/>
      <x:c r="D23" s="352"/>
      <x:c r="E23" s="352"/>
      <x:c r="F23" s="352"/>
      <x:c r="G23" s="352"/>
      <x:c r="H23" s="352"/>
      <x:c r="I23" s="352"/>
      <x:c r="J23" s="352"/>
      <x:c r="K23" s="352"/>
      <x:c r="L23" s="352"/>
      <x:c r="M23" s="352"/>
      <x:c r="N23" s="352"/>
      <x:c r="O23" s="352"/>
      <x:c r="P23" s="352"/>
      <x:c r="Q23" s="352"/>
      <x:c r="R23" s="352"/>
      <x:c r="S23" s="352"/>
    </x:row>
    <x:row r="24">
      <x:c r="A24" s="352"/>
      <x:c r="B24" s="352"/>
      <x:c r="C24" s="352"/>
      <x:c r="D24" s="352"/>
      <x:c r="E24" s="352"/>
      <x:c r="F24" s="352"/>
      <x:c r="G24" s="352"/>
      <x:c r="H24" s="352"/>
      <x:c r="I24" s="352"/>
      <x:c r="J24" s="352"/>
      <x:c r="K24" s="352"/>
      <x:c r="L24" s="352"/>
      <x:c r="M24" s="352"/>
      <x:c r="N24" s="352"/>
      <x:c r="O24" s="352"/>
      <x:c r="P24" s="352"/>
      <x:c r="Q24" s="352"/>
      <x:c r="R24" s="352"/>
      <x:c r="S24" s="352"/>
    </x:row>
    <x:row r="25">
      <x:c r="A25" s="352"/>
      <x:c r="B25" s="352"/>
      <x:c r="C25" s="352"/>
      <x:c r="D25" s="352"/>
      <x:c r="E25" s="352"/>
      <x:c r="F25" s="352"/>
      <x:c r="G25" s="352"/>
      <x:c r="H25" s="352"/>
      <x:c r="I25" s="352"/>
      <x:c r="J25" s="352"/>
      <x:c r="K25" s="352"/>
      <x:c r="L25" s="352"/>
      <x:c r="M25" s="352"/>
      <x:c r="N25" s="352"/>
      <x:c r="O25" s="352"/>
      <x:c r="P25" s="352"/>
      <x:c r="Q25" s="352"/>
      <x:c r="R25" s="352"/>
      <x:c r="S25" s="352"/>
    </x:row>
    <x:row r="26">
      <x:c r="A26" s="352"/>
      <x:c r="B26" s="352"/>
      <x:c r="C26" s="352"/>
      <x:c r="D26" s="352"/>
      <x:c r="E26" s="352"/>
      <x:c r="F26" s="352"/>
      <x:c r="G26" s="352"/>
      <x:c r="H26" s="352"/>
      <x:c r="I26" s="352"/>
      <x:c r="J26" s="352"/>
      <x:c r="K26" s="352"/>
      <x:c r="L26" s="352"/>
      <x:c r="M26" s="352"/>
      <x:c r="N26" s="352"/>
      <x:c r="O26" s="352"/>
      <x:c r="P26" s="352"/>
      <x:c r="Q26" s="352"/>
      <x:c r="R26" s="352"/>
      <x:c r="S26" s="352"/>
    </x:row>
    <x:row r="27">
      <x:c r="A27" s="352"/>
      <x:c r="B27" s="352"/>
      <x:c r="C27" s="352"/>
      <x:c r="D27" s="352"/>
      <x:c r="E27" s="352"/>
      <x:c r="F27" s="352"/>
      <x:c r="G27" s="352"/>
      <x:c r="H27" s="352"/>
      <x:c r="I27" s="352"/>
      <x:c r="J27" s="352"/>
      <x:c r="K27" s="352"/>
      <x:c r="L27" s="352"/>
      <x:c r="M27" s="352"/>
      <x:c r="N27" s="352"/>
      <x:c r="O27" s="352"/>
      <x:c r="P27" s="352"/>
      <x:c r="Q27" s="352"/>
      <x:c r="R27" s="352"/>
      <x:c r="S27" s="352"/>
    </x:row>
    <x:row r="28">
      <x:c r="A28" s="352"/>
      <x:c r="B28" s="352"/>
      <x:c r="C28" s="352"/>
      <x:c r="D28" s="352"/>
      <x:c r="E28" s="352"/>
      <x:c r="F28" s="352"/>
      <x:c r="G28" s="352"/>
      <x:c r="H28" s="352"/>
      <x:c r="I28" s="352"/>
      <x:c r="J28" s="352"/>
      <x:c r="K28" s="352"/>
      <x:c r="L28" s="352"/>
      <x:c r="M28" s="352"/>
      <x:c r="N28" s="352"/>
      <x:c r="O28" s="352"/>
      <x:c r="P28" s="352"/>
      <x:c r="Q28" s="352"/>
      <x:c r="R28" s="352"/>
      <x:c r="S28" s="352"/>
    </x:row>
    <x:row r="29">
      <x:c r="A29" s="352"/>
      <x:c r="B29" s="352"/>
      <x:c r="C29" s="352"/>
      <x:c r="D29" s="352"/>
      <x:c r="E29" s="352"/>
      <x:c r="F29" s="352"/>
      <x:c r="G29" s="352"/>
      <x:c r="H29" s="352"/>
      <x:c r="I29" s="352"/>
      <x:c r="J29" s="352"/>
      <x:c r="K29" s="352"/>
      <x:c r="L29" s="352"/>
      <x:c r="M29" s="352"/>
      <x:c r="N29" s="352"/>
      <x:c r="O29" s="352"/>
      <x:c r="P29" s="352"/>
      <x:c r="Q29" s="352"/>
      <x:c r="R29" s="352"/>
      <x:c r="S29" s="352"/>
    </x:row>
    <x:row r="30">
      <x:c r="A30" s="352"/>
      <x:c r="B30" s="352"/>
      <x:c r="C30" s="352"/>
      <x:c r="D30" s="352"/>
      <x:c r="E30" s="352"/>
      <x:c r="F30" s="352"/>
      <x:c r="G30" s="352"/>
      <x:c r="H30" s="352"/>
      <x:c r="I30" s="352"/>
      <x:c r="J30" s="352"/>
      <x:c r="K30" s="352"/>
      <x:c r="L30" s="352"/>
      <x:c r="M30" s="352"/>
      <x:c r="N30" s="352"/>
      <x:c r="O30" s="352"/>
      <x:c r="P30" s="352"/>
      <x:c r="Q30" s="352"/>
      <x:c r="R30" s="352"/>
      <x:c r="S30" s="352"/>
    </x:row>
    <x:row r="31">
      <x:c r="A31" s="352"/>
      <x:c r="B31" s="352"/>
      <x:c r="C31" s="352"/>
      <x:c r="D31" s="352"/>
      <x:c r="E31" s="352"/>
      <x:c r="F31" s="352"/>
      <x:c r="G31" s="352"/>
      <x:c r="H31" s="352"/>
      <x:c r="I31" s="352"/>
      <x:c r="J31" s="352"/>
      <x:c r="K31" s="352"/>
      <x:c r="L31" s="352"/>
      <x:c r="M31" s="352"/>
      <x:c r="N31" s="352"/>
      <x:c r="O31" s="352"/>
      <x:c r="P31" s="352"/>
      <x:c r="Q31" s="352"/>
      <x:c r="R31" s="352"/>
      <x:c r="S31" s="352"/>
    </x:row>
    <x:row r="32">
      <x:c r="A32" s="352"/>
      <x:c r="B32" s="352"/>
      <x:c r="C32" s="352"/>
      <x:c r="D32" s="352"/>
      <x:c r="E32" s="352"/>
      <x:c r="F32" s="352"/>
      <x:c r="G32" s="352"/>
      <x:c r="H32" s="352"/>
      <x:c r="I32" s="352"/>
      <x:c r="J32" s="352"/>
      <x:c r="K32" s="352"/>
      <x:c r="L32" s="352"/>
      <x:c r="M32" s="352"/>
      <x:c r="N32" s="352"/>
      <x:c r="O32" s="352"/>
      <x:c r="P32" s="352"/>
      <x:c r="Q32" s="352"/>
      <x:c r="R32" s="352"/>
      <x:c r="S32" s="352"/>
    </x:row>
    <x:row r="33">
      <x:c r="A33" s="352"/>
      <x:c r="B33" s="352"/>
      <x:c r="C33" s="352"/>
      <x:c r="D33" s="352"/>
      <x:c r="E33" s="352"/>
      <x:c r="F33" s="352"/>
      <x:c r="G33" s="352"/>
      <x:c r="H33" s="352"/>
      <x:c r="I33" s="352"/>
      <x:c r="J33" s="352"/>
      <x:c r="K33" s="352"/>
      <x:c r="L33" s="352"/>
      <x:c r="M33" s="352"/>
      <x:c r="N33" s="352"/>
      <x:c r="O33" s="352"/>
      <x:c r="P33" s="352"/>
      <x:c r="Q33" s="352"/>
      <x:c r="R33" s="352"/>
      <x:c r="S33" s="352"/>
    </x:row>
    <x:row r="34">
      <x:c r="A34" s="352"/>
      <x:c r="B34" s="352"/>
      <x:c r="C34" s="352"/>
      <x:c r="D34" s="352"/>
      <x:c r="E34" s="352"/>
      <x:c r="F34" s="352"/>
      <x:c r="G34" s="352"/>
      <x:c r="H34" s="352"/>
      <x:c r="I34" s="352"/>
      <x:c r="J34" s="352"/>
      <x:c r="K34" s="352"/>
      <x:c r="L34" s="352"/>
      <x:c r="M34" s="352"/>
      <x:c r="N34" s="352"/>
      <x:c r="O34" s="352"/>
      <x:c r="P34" s="352"/>
      <x:c r="Q34" s="352"/>
      <x:c r="R34" s="352"/>
      <x:c r="S34" s="352"/>
    </x:row>
    <x:row r="35">
      <x:c r="A35" s="352"/>
      <x:c r="B35" s="352"/>
      <x:c r="C35" s="352"/>
      <x:c r="D35" s="352"/>
      <x:c r="E35" s="352"/>
      <x:c r="F35" s="352"/>
      <x:c r="G35" s="352"/>
      <x:c r="H35" s="352"/>
      <x:c r="I35" s="352"/>
      <x:c r="J35" s="352"/>
      <x:c r="K35" s="352"/>
      <x:c r="L35" s="352"/>
      <x:c r="M35" s="352"/>
      <x:c r="N35" s="352"/>
      <x:c r="O35" s="352"/>
      <x:c r="P35" s="352"/>
      <x:c r="Q35" s="352"/>
      <x:c r="R35" s="352"/>
      <x:c r="S35" s="352"/>
    </x:row>
    <x:row r="36">
      <x:c r="A36" s="352"/>
      <x:c r="B36" s="352"/>
      <x:c r="C36" s="352"/>
      <x:c r="D36" s="352"/>
      <x:c r="E36" s="352"/>
      <x:c r="F36" s="352"/>
      <x:c r="G36" s="352"/>
      <x:c r="H36" s="352"/>
      <x:c r="I36" s="352"/>
      <x:c r="J36" s="352"/>
      <x:c r="K36" s="352"/>
      <x:c r="L36" s="352"/>
      <x:c r="M36" s="352"/>
      <x:c r="N36" s="352"/>
      <x:c r="O36" s="352"/>
      <x:c r="P36" s="352"/>
      <x:c r="Q36" s="352"/>
      <x:c r="R36" s="352"/>
      <x:c r="S36" s="352"/>
    </x:row>
    <x:row r="37">
      <x:c r="A37" s="352"/>
      <x:c r="B37" s="352"/>
      <x:c r="C37" s="352"/>
      <x:c r="D37" s="352"/>
      <x:c r="E37" s="352"/>
      <x:c r="F37" s="352"/>
      <x:c r="G37" s="352"/>
      <x:c r="H37" s="352"/>
      <x:c r="I37" s="352"/>
      <x:c r="J37" s="352"/>
      <x:c r="K37" s="352"/>
      <x:c r="L37" s="352"/>
      <x:c r="M37" s="352"/>
      <x:c r="N37" s="352"/>
      <x:c r="O37" s="352"/>
      <x:c r="P37" s="352"/>
      <x:c r="Q37" s="352"/>
      <x:c r="R37" s="352"/>
      <x:c r="S37" s="352"/>
    </x:row>
    <x:row r="38">
      <x:c r="A38" s="352"/>
      <x:c r="B38" s="352"/>
      <x:c r="C38" s="352"/>
      <x:c r="D38" s="352"/>
      <x:c r="E38" s="352"/>
      <x:c r="F38" s="352"/>
      <x:c r="G38" s="352"/>
      <x:c r="H38" s="352"/>
      <x:c r="I38" s="352"/>
      <x:c r="J38" s="352"/>
      <x:c r="K38" s="352"/>
      <x:c r="L38" s="352"/>
      <x:c r="M38" s="352"/>
      <x:c r="N38" s="352"/>
      <x:c r="O38" s="352"/>
      <x:c r="P38" s="352"/>
      <x:c r="Q38" s="352"/>
      <x:c r="R38" s="352"/>
      <x:c r="S38" s="352"/>
    </x:row>
    <x:row r="39">
      <x:c r="A39" s="352"/>
      <x:c r="B39" s="352"/>
      <x:c r="C39" s="352"/>
      <x:c r="D39" s="352"/>
      <x:c r="E39" s="352"/>
      <x:c r="F39" s="352"/>
      <x:c r="G39" s="352"/>
      <x:c r="H39" s="352"/>
      <x:c r="I39" s="352"/>
      <x:c r="J39" s="352"/>
      <x:c r="K39" s="352"/>
      <x:c r="L39" s="352"/>
      <x:c r="M39" s="352"/>
      <x:c r="N39" s="352"/>
      <x:c r="O39" s="352"/>
      <x:c r="P39" s="352"/>
      <x:c r="Q39" s="352"/>
      <x:c r="R39" s="352"/>
      <x:c r="S39" s="352"/>
    </x:row>
    <x:row r="40">
      <x:c r="A40" s="352"/>
      <x:c r="B40" s="352"/>
      <x:c r="C40" s="352"/>
      <x:c r="D40" s="352"/>
      <x:c r="E40" s="352"/>
      <x:c r="F40" s="352"/>
      <x:c r="G40" s="352"/>
      <x:c r="H40" s="352"/>
      <x:c r="I40" s="352"/>
      <x:c r="J40" s="352"/>
      <x:c r="K40" s="352"/>
      <x:c r="L40" s="352"/>
      <x:c r="M40" s="352"/>
      <x:c r="N40" s="352"/>
      <x:c r="O40" s="352"/>
      <x:c r="P40" s="352"/>
      <x:c r="Q40" s="352"/>
      <x:c r="R40" s="352"/>
      <x:c r="S40" s="352"/>
    </x:row>
    <x:row r="41">
      <x:c r="A41" s="352"/>
      <x:c r="B41" s="352"/>
      <x:c r="C41" s="352"/>
      <x:c r="D41" s="352"/>
      <x:c r="E41" s="352"/>
      <x:c r="F41" s="352"/>
      <x:c r="G41" s="352"/>
      <x:c r="H41" s="352"/>
      <x:c r="I41" s="352"/>
      <x:c r="J41" s="352"/>
      <x:c r="K41" s="352"/>
      <x:c r="L41" s="352"/>
      <x:c r="M41" s="352"/>
      <x:c r="N41" s="352"/>
      <x:c r="O41" s="352"/>
      <x:c r="P41" s="352"/>
      <x:c r="Q41" s="352"/>
      <x:c r="R41" s="352"/>
      <x:c r="S41" s="352"/>
    </x:row>
    <x:row r="42">
      <x:c r="A42" s="352"/>
      <x:c r="B42" s="352"/>
      <x:c r="C42" s="352"/>
      <x:c r="D42" s="352"/>
      <x:c r="E42" s="352"/>
      <x:c r="F42" s="352"/>
      <x:c r="G42" s="352"/>
      <x:c r="H42" s="352"/>
      <x:c r="I42" s="352"/>
      <x:c r="J42" s="352"/>
      <x:c r="K42" s="352"/>
      <x:c r="L42" s="352"/>
      <x:c r="M42" s="352"/>
      <x:c r="N42" s="352"/>
      <x:c r="O42" s="352"/>
      <x:c r="P42" s="352"/>
      <x:c r="Q42" s="352"/>
      <x:c r="R42" s="352"/>
      <x:c r="S42" s="352"/>
    </x:row>
    <x:row r="43">
      <x:c r="A43" s="352"/>
      <x:c r="B43" s="352"/>
      <x:c r="C43" s="352"/>
      <x:c r="D43" s="352"/>
      <x:c r="E43" s="352"/>
      <x:c r="F43" s="352"/>
      <x:c r="G43" s="352"/>
      <x:c r="H43" s="352"/>
      <x:c r="I43" s="352"/>
      <x:c r="J43" s="352"/>
      <x:c r="K43" s="352"/>
      <x:c r="L43" s="352"/>
      <x:c r="M43" s="352"/>
      <x:c r="N43" s="352"/>
      <x:c r="O43" s="352"/>
      <x:c r="P43" s="352"/>
      <x:c r="Q43" s="352"/>
      <x:c r="R43" s="352"/>
      <x:c r="S43" s="352"/>
    </x:row>
    <x:row r="44">
      <x:c r="A44" s="352"/>
      <x:c r="B44" s="352"/>
      <x:c r="C44" s="352"/>
      <x:c r="D44" s="352"/>
      <x:c r="E44" s="352"/>
      <x:c r="F44" s="352"/>
      <x:c r="G44" s="352"/>
      <x:c r="H44" s="352"/>
      <x:c r="I44" s="352"/>
      <x:c r="J44" s="352"/>
      <x:c r="K44" s="352"/>
      <x:c r="L44" s="352"/>
      <x:c r="M44" s="352"/>
      <x:c r="N44" s="352"/>
      <x:c r="O44" s="352"/>
      <x:c r="P44" s="352"/>
      <x:c r="Q44" s="352"/>
      <x:c r="R44" s="352"/>
      <x:c r="S44" s="352"/>
    </x:row>
    <x:row r="45">
      <x:c r="A45" s="352"/>
      <x:c r="B45" s="352"/>
      <x:c r="C45" s="352"/>
      <x:c r="D45" s="352"/>
      <x:c r="E45" s="352"/>
      <x:c r="F45" s="352"/>
      <x:c r="G45" s="352"/>
      <x:c r="H45" s="352"/>
      <x:c r="I45" s="352"/>
      <x:c r="J45" s="352"/>
      <x:c r="K45" s="352"/>
      <x:c r="L45" s="352"/>
      <x:c r="M45" s="352"/>
      <x:c r="N45" s="352"/>
      <x:c r="O45" s="352"/>
      <x:c r="P45" s="352"/>
      <x:c r="Q45" s="352"/>
      <x:c r="R45" s="352"/>
      <x:c r="S45" s="352"/>
    </x:row>
    <x:row r="46">
      <x:c r="A46" s="352"/>
      <x:c r="B46" s="352"/>
      <x:c r="C46" s="352"/>
      <x:c r="D46" s="352"/>
      <x:c r="E46" s="352"/>
      <x:c r="F46" s="352"/>
      <x:c r="G46" s="352"/>
      <x:c r="H46" s="352"/>
      <x:c r="I46" s="352"/>
      <x:c r="J46" s="352"/>
      <x:c r="K46" s="352"/>
      <x:c r="L46" s="352"/>
      <x:c r="M46" s="352"/>
      <x:c r="N46" s="352"/>
      <x:c r="O46" s="352"/>
      <x:c r="P46" s="352"/>
      <x:c r="Q46" s="352"/>
      <x:c r="R46" s="352"/>
      <x:c r="S46" s="352"/>
    </x:row>
    <x:row r="47">
      <x:c r="A47" s="352"/>
      <x:c r="B47" s="352"/>
      <x:c r="C47" s="352"/>
      <x:c r="D47" s="352"/>
      <x:c r="E47" s="352"/>
      <x:c r="F47" s="352"/>
      <x:c r="G47" s="352"/>
      <x:c r="H47" s="352"/>
      <x:c r="I47" s="352"/>
      <x:c r="J47" s="352"/>
      <x:c r="K47" s="352"/>
      <x:c r="L47" s="352"/>
      <x:c r="M47" s="352"/>
      <x:c r="N47" s="352"/>
      <x:c r="O47" s="352"/>
      <x:c r="P47" s="352"/>
      <x:c r="Q47" s="352"/>
      <x:c r="R47" s="352"/>
      <x:c r="S47" s="352"/>
    </x:row>
    <x:row r="48">
      <x:c r="A48" s="352"/>
      <x:c r="B48" s="352"/>
      <x:c r="C48" s="352"/>
      <x:c r="D48" s="352"/>
      <x:c r="E48" s="352"/>
      <x:c r="F48" s="352"/>
      <x:c r="G48" s="352"/>
      <x:c r="H48" s="352"/>
      <x:c r="I48" s="352"/>
      <x:c r="J48" s="352"/>
      <x:c r="K48" s="352"/>
      <x:c r="L48" s="352"/>
      <x:c r="M48" s="352"/>
      <x:c r="N48" s="352"/>
      <x:c r="O48" s="352"/>
      <x:c r="P48" s="352"/>
      <x:c r="Q48" s="352"/>
      <x:c r="R48" s="352"/>
      <x:c r="S48" s="352"/>
    </x:row>
    <x:row r="49">
      <x:c r="A49" s="352"/>
      <x:c r="B49" s="352"/>
      <x:c r="C49" s="352"/>
      <x:c r="D49" s="352"/>
      <x:c r="E49" s="352"/>
      <x:c r="F49" s="352"/>
      <x:c r="G49" s="352"/>
      <x:c r="H49" s="352"/>
      <x:c r="I49" s="352"/>
      <x:c r="J49" s="352"/>
      <x:c r="K49" s="352"/>
      <x:c r="L49" s="352"/>
      <x:c r="M49" s="352"/>
      <x:c r="N49" s="352"/>
      <x:c r="O49" s="352"/>
      <x:c r="P49" s="352"/>
      <x:c r="Q49" s="352"/>
      <x:c r="R49" s="352"/>
      <x:c r="S49" s="352"/>
    </x:row>
    <x:row r="50">
      <x:c r="A50" s="352"/>
      <x:c r="B50" s="352"/>
      <x:c r="C50" s="352"/>
      <x:c r="D50" s="352"/>
      <x:c r="E50" s="352"/>
      <x:c r="F50" s="352"/>
      <x:c r="G50" s="352"/>
      <x:c r="H50" s="352"/>
      <x:c r="I50" s="352"/>
      <x:c r="J50" s="352"/>
      <x:c r="K50" s="352"/>
      <x:c r="L50" s="352"/>
      <x:c r="M50" s="352"/>
      <x:c r="N50" s="352"/>
      <x:c r="O50" s="352"/>
      <x:c r="P50" s="352"/>
      <x:c r="Q50" s="352"/>
      <x:c r="R50" s="352"/>
      <x:c r="S50" s="352"/>
    </x:row>
    <x:row r="51">
      <x:c r="A51" s="352"/>
      <x:c r="B51" s="352"/>
      <x:c r="C51" s="352"/>
      <x:c r="D51" s="352"/>
      <x:c r="E51" s="352"/>
      <x:c r="F51" s="352"/>
      <x:c r="G51" s="352"/>
      <x:c r="H51" s="352"/>
      <x:c r="I51" s="352"/>
      <x:c r="J51" s="352"/>
      <x:c r="K51" s="352"/>
      <x:c r="L51" s="352"/>
      <x:c r="M51" s="352"/>
      <x:c r="N51" s="352"/>
      <x:c r="O51" s="352"/>
      <x:c r="P51" s="352"/>
      <x:c r="Q51" s="352"/>
      <x:c r="R51" s="352"/>
      <x:c r="S51" s="352"/>
    </x:row>
    <x:row r="52">
      <x:c r="A52" s="352"/>
      <x:c r="B52" s="352"/>
      <x:c r="C52" s="352"/>
      <x:c r="D52" s="352"/>
      <x:c r="E52" s="352"/>
      <x:c r="F52" s="352"/>
      <x:c r="G52" s="352"/>
      <x:c r="H52" s="352"/>
      <x:c r="I52" s="352"/>
      <x:c r="J52" s="352"/>
      <x:c r="K52" s="352"/>
      <x:c r="L52" s="352"/>
      <x:c r="M52" s="352"/>
      <x:c r="N52" s="352"/>
      <x:c r="O52" s="352"/>
      <x:c r="P52" s="352"/>
      <x:c r="Q52" s="352"/>
      <x:c r="R52" s="352"/>
      <x:c r="S52" s="352"/>
    </x:row>
    <x:row r="53">
      <x:c r="A53" s="352"/>
      <x:c r="B53" s="352"/>
      <x:c r="C53" s="352"/>
      <x:c r="D53" s="352"/>
      <x:c r="E53" s="352"/>
      <x:c r="F53" s="352"/>
      <x:c r="G53" s="352"/>
      <x:c r="H53" s="352"/>
      <x:c r="I53" s="352"/>
      <x:c r="J53" s="352"/>
      <x:c r="K53" s="352"/>
      <x:c r="L53" s="352"/>
      <x:c r="M53" s="352"/>
      <x:c r="N53" s="352"/>
      <x:c r="O53" s="352"/>
      <x:c r="P53" s="352"/>
      <x:c r="Q53" s="352"/>
      <x:c r="R53" s="352"/>
      <x:c r="S53" s="352"/>
    </x:row>
    <x:row r="54">
      <x:c r="A54" s="352"/>
      <x:c r="B54" s="352"/>
      <x:c r="C54" s="352"/>
      <x:c r="D54" s="352"/>
      <x:c r="E54" s="352"/>
      <x:c r="F54" s="352"/>
      <x:c r="G54" s="352"/>
      <x:c r="H54" s="352"/>
      <x:c r="I54" s="352"/>
      <x:c r="J54" s="352"/>
      <x:c r="K54" s="352"/>
      <x:c r="L54" s="352"/>
      <x:c r="M54" s="352"/>
      <x:c r="N54" s="352"/>
      <x:c r="O54" s="352"/>
      <x:c r="P54" s="352"/>
      <x:c r="Q54" s="352"/>
      <x:c r="R54" s="352"/>
      <x:c r="S54" s="352"/>
    </x:row>
    <x:row r="55">
      <x:c r="A55" s="352"/>
      <x:c r="B55" s="352"/>
      <x:c r="C55" s="352"/>
      <x:c r="D55" s="352"/>
      <x:c r="E55" s="352"/>
      <x:c r="F55" s="352"/>
      <x:c r="G55" s="352"/>
      <x:c r="H55" s="352"/>
      <x:c r="I55" s="352"/>
      <x:c r="J55" s="352"/>
      <x:c r="K55" s="352"/>
      <x:c r="L55" s="352"/>
      <x:c r="M55" s="352"/>
      <x:c r="N55" s="352"/>
      <x:c r="O55" s="352"/>
      <x:c r="P55" s="352"/>
      <x:c r="Q55" s="352"/>
      <x:c r="R55" s="352"/>
      <x:c r="S55" s="352"/>
    </x:row>
    <x:row r="56">
      <x:c r="A56" s="352"/>
      <x:c r="B56" s="352"/>
      <x:c r="C56" s="352"/>
      <x:c r="D56" s="352"/>
      <x:c r="E56" s="352"/>
      <x:c r="F56" s="352"/>
      <x:c r="G56" s="352"/>
      <x:c r="H56" s="352"/>
      <x:c r="I56" s="352"/>
      <x:c r="J56" s="352"/>
      <x:c r="K56" s="352"/>
      <x:c r="L56" s="352"/>
      <x:c r="M56" s="352"/>
      <x:c r="N56" s="352"/>
      <x:c r="O56" s="352"/>
      <x:c r="P56" s="352"/>
      <x:c r="Q56" s="352"/>
      <x:c r="R56" s="352"/>
      <x:c r="S56" s="352"/>
    </x:row>
    <x:row r="57">
      <x:c r="A57" s="352"/>
      <x:c r="B57" s="352"/>
      <x:c r="C57" s="352"/>
      <x:c r="D57" s="352"/>
      <x:c r="E57" s="352"/>
      <x:c r="F57" s="352"/>
      <x:c r="G57" s="352"/>
      <x:c r="H57" s="352"/>
      <x:c r="I57" s="352"/>
      <x:c r="J57" s="352"/>
      <x:c r="K57" s="352"/>
      <x:c r="L57" s="352"/>
      <x:c r="M57" s="352"/>
      <x:c r="N57" s="352"/>
      <x:c r="O57" s="352"/>
      <x:c r="P57" s="352"/>
      <x:c r="Q57" s="352"/>
      <x:c r="R57" s="352"/>
      <x:c r="S57" s="352"/>
    </x:row>
    <x:row r="58">
      <x:c r="A58" s="352"/>
      <x:c r="B58" s="352"/>
      <x:c r="C58" s="352"/>
      <x:c r="D58" s="352"/>
      <x:c r="E58" s="352"/>
      <x:c r="F58" s="352"/>
      <x:c r="G58" s="352"/>
      <x:c r="H58" s="352"/>
      <x:c r="I58" s="352"/>
      <x:c r="J58" s="352"/>
      <x:c r="K58" s="352"/>
      <x:c r="L58" s="352"/>
      <x:c r="M58" s="352"/>
      <x:c r="N58" s="352"/>
      <x:c r="O58" s="352"/>
      <x:c r="P58" s="352"/>
      <x:c r="Q58" s="352"/>
      <x:c r="R58" s="352"/>
      <x:c r="S58" s="352"/>
    </x:row>
    <x:row r="59">
      <x:c r="A59" s="352"/>
      <x:c r="B59" s="352"/>
      <x:c r="C59" s="352"/>
      <x:c r="D59" s="352"/>
      <x:c r="E59" s="352"/>
      <x:c r="F59" s="352"/>
      <x:c r="G59" s="352"/>
      <x:c r="H59" s="352"/>
      <x:c r="I59" s="352"/>
      <x:c r="J59" s="352"/>
      <x:c r="K59" s="352"/>
      <x:c r="L59" s="352"/>
      <x:c r="M59" s="352"/>
      <x:c r="N59" s="352"/>
      <x:c r="O59" s="352"/>
      <x:c r="P59" s="352"/>
      <x:c r="Q59" s="352"/>
      <x:c r="R59" s="352"/>
      <x:c r="S59" s="352"/>
    </x:row>
    <x:row r="60">
      <x:c r="A60" s="352"/>
      <x:c r="B60" s="352"/>
      <x:c r="C60" s="352"/>
      <x:c r="D60" s="352"/>
      <x:c r="E60" s="352"/>
      <x:c r="F60" s="352"/>
      <x:c r="G60" s="352"/>
      <x:c r="H60" s="352"/>
      <x:c r="I60" s="352"/>
      <x:c r="J60" s="352"/>
      <x:c r="K60" s="352"/>
      <x:c r="L60" s="352"/>
      <x:c r="M60" s="352"/>
      <x:c r="N60" s="352"/>
      <x:c r="O60" s="352"/>
      <x:c r="P60" s="352"/>
      <x:c r="Q60" s="352"/>
      <x:c r="R60" s="352"/>
      <x:c r="S60" s="352"/>
    </x:row>
  </x:sheetData>
  <x:mergeCells>
    <x:mergeCell ref="A1:K2"/>
    <x:mergeCell ref="A4:K5"/>
    <x:mergeCell ref="A17:E17"/>
    <x:mergeCell ref="A18:E22"/>
  </x:mergeCells>
  <x:conditionalFormatting sqref="A8:K14">
    <x:cfRule type="expression" dxfId="2" priority="1">
      <x:formula>$A8="Base"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e308ff95a944c6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7" hidden="0" customWidth="1"/>
    <x:col min="3" max="3" width="34" hidden="0" customWidth="1"/>
    <x:col min="4" max="4" width="15" hidden="0" customWidth="1"/>
    <x:col min="5" max="5" width="13" hidden="0" customWidth="1"/>
    <x:col min="6" max="6" width="12" hidden="0" customWidth="1"/>
    <x:col min="7" max="7" width="12" hidden="0" customWidth="1"/>
    <x:col min="8" max="8" width="16" hidden="0" customWidth="1"/>
    <x:col min="9" max="9" width="18" hidden="0" customWidth="1"/>
    <x:col min="10" max="10" width="14" hidden="0" customWidth="1"/>
    <x:col min="11" max="11" width="17" hidden="0" customWidth="1"/>
    <x:col min="12" max="12" width="14" hidden="0" customWidth="1"/>
    <x:col min="13" max="13" width="24" hidden="0" customWidth="1"/>
  </x:cols>
  <x:sheetData>
    <x:row r="1" ht="34" customHeight="1">
      <x:c r="A1" s="5" t="str">
        <x:v>05 · PROGRAMA PLANIFICADO DE RECURSOS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  <x:c r="N1" s="352"/>
      <x:c r="O1" s="352"/>
      <x:c r="P1" s="352"/>
      <x:c r="Q1" s="352"/>
      <x:c r="R1" s="352"/>
      <x:c r="S1" s="352"/>
    </x:row>
    <x:row r="2">
      <x:c r="A2" s="352"/>
      <x:c r="B2" s="352"/>
      <x:c r="C2" s="352"/>
      <x:c r="D2" s="352"/>
      <x:c r="E2" s="352"/>
      <x:c r="F2" s="352"/>
      <x:c r="G2" s="352"/>
      <x:c r="H2" s="352"/>
      <x:c r="I2" s="352"/>
      <x:c r="J2" s="352"/>
      <x:c r="K2" s="352"/>
      <x:c r="L2" s="352"/>
      <x:c r="M2" s="352"/>
      <x:c r="N2" s="352"/>
      <x:c r="O2" s="352"/>
      <x:c r="P2" s="352"/>
      <x:c r="Q2" s="352"/>
      <x:c r="R2" s="352"/>
      <x:c r="S2" s="352"/>
    </x:row>
    <x:row r="3">
      <x:c r="A3" s="352"/>
      <x:c r="B3" s="352"/>
      <x:c r="C3" s="352"/>
      <x:c r="D3" s="352"/>
      <x:c r="E3" s="352"/>
      <x:c r="F3" s="352"/>
      <x:c r="G3" s="352"/>
      <x:c r="H3" s="352"/>
      <x:c r="I3" s="352"/>
      <x:c r="J3" s="352"/>
      <x:c r="K3" s="352"/>
      <x:c r="L3" s="352"/>
      <x:c r="M3" s="352"/>
      <x:c r="N3" s="352"/>
      <x:c r="O3" s="352"/>
      <x:c r="P3" s="352"/>
      <x:c r="Q3" s="352"/>
      <x:c r="R3" s="352"/>
      <x:c r="S3" s="352"/>
    </x:row>
    <x:row r="4">
      <x:c r="A4" s="352"/>
      <x:c r="B4" s="352"/>
      <x:c r="C4" s="352"/>
      <x:c r="D4" s="352"/>
      <x:c r="E4" s="352"/>
      <x:c r="F4" s="352"/>
      <x:c r="G4" s="352"/>
      <x:c r="H4" s="352"/>
      <x:c r="I4" s="352"/>
      <x:c r="J4" s="352"/>
      <x:c r="K4" s="352"/>
      <x:c r="L4" s="352"/>
      <x:c r="M4" s="352"/>
      <x:c r="N4" s="352"/>
      <x:c r="O4" s="352"/>
      <x:c r="P4" s="352"/>
      <x:c r="Q4" s="352"/>
      <x:c r="R4" s="352"/>
      <x:c r="S4" s="352"/>
    </x:row>
    <x:row r="5">
      <x:c r="A5" s="352"/>
      <x:c r="B5" s="352"/>
      <x:c r="C5" s="352"/>
      <x:c r="D5" s="352"/>
      <x:c r="E5" s="352"/>
      <x:c r="F5" s="352"/>
      <x:c r="G5" s="352"/>
      <x:c r="H5" s="352"/>
      <x:c r="I5" s="352"/>
      <x:c r="J5" s="352"/>
      <x:c r="K5" s="352"/>
      <x:c r="L5" s="352"/>
      <x:c r="M5" s="352"/>
      <x:c r="N5" s="352"/>
      <x:c r="O5" s="352"/>
      <x:c r="P5" s="352"/>
      <x:c r="Q5" s="352"/>
      <x:c r="R5" s="352"/>
      <x:c r="S5" s="352"/>
    </x:row>
    <x:row r="6" ht="30" customHeight="1">
      <x:c r="A6" s="78" t="str">
        <x:v>ID</x:v>
      </x:c>
      <x:c r="B6" s="78" t="str">
        <x:v>Categoría</x:v>
      </x:c>
      <x:c r="C6" s="78" t="str">
        <x:v>Recurso</x:v>
      </x:c>
      <x:c r="D6" s="78" t="str">
        <x:v>Unidad recurso</x:v>
      </x:c>
      <x:c r="E6" s="78" t="str">
        <x:v>n / coef.</x:v>
      </x:c>
      <x:c r="F6" s="78" t="str">
        <x:v>Inicio día</x:v>
      </x:c>
      <x:c r="G6" s="78" t="str">
        <x:v>Fin día</x:v>
      </x:c>
      <x:c r="H6" s="78" t="str">
        <x:v>Consumo neto</x:v>
      </x:c>
      <x:c r="I6" s="78" t="str">
        <x:v>Consumo planificado</x:v>
      </x:c>
      <x:c r="J6" s="78" t="str">
        <x:v>Precio unitario</x:v>
      </x:c>
      <x:c r="K6" s="78" t="str">
        <x:v>Costo planificado</x:v>
      </x:c>
      <x:c r="L6" s="78" t="str">
        <x:v>Carga / uso</x:v>
      </x:c>
      <x:c r="M6" s="78" t="str">
        <x:v>Base de cálculo</x:v>
      </x:c>
      <x:c r="N6" s="352"/>
      <x:c r="O6" s="352"/>
      <x:c r="P6" s="352"/>
      <x:c r="Q6" s="352"/>
      <x:c r="R6" s="352"/>
      <x:c r="S6" s="352"/>
    </x:row>
    <x:row r="7">
      <x:c r="A7" s="502" t="str">
        <x:f>'02_APU_Recursos'!A7</x:f>
        <x:v>EQ-01</x:v>
      </x:c>
      <x:c r="B7" s="503" t="str">
        <x:f>'02_APU_Recursos'!B7</x:f>
        <x:v>Equipo</x:v>
      </x:c>
      <x:c r="C7" s="503" t="str">
        <x:f>'02_APU_Recursos'!C7</x:f>
        <x:v>Herramientas varias</x:v>
      </x:c>
      <x:c r="D7" s="503" t="str">
        <x:f>'02_APU_Recursos'!J7</x:f>
        <x:v>EH/m²</x:v>
      </x:c>
      <x:c r="E7" s="401" t="n">
        <x:f>'02_APU_Recursos'!E7</x:f>
        <x:v>2</x:v>
      </x:c>
      <x:c r="F7" s="401" t="n">
        <x:f>0</x:f>
        <x:v>0</x:v>
      </x:c>
      <x:c r="G7" s="401" t="n">
        <x:f>'03_Calculos_Plan'!$B$14</x:f>
        <x:v>0.3400588235294118</x:v>
      </x:c>
      <x:c r="H7" s="401" t="n">
        <x:f>'03_Calculos_Plan'!$B$6*'02_APU_Recursos'!I7</x:f>
        <x:v>4.6248000000000005</x:v>
      </x:c>
      <x:c r="I7" s="401" t="n">
        <x:f>IF(OR(B7="Mano de obra",B7="Equipo"),H7/'03_Calculos_Plan'!$B$9,H7)</x:f>
        <x:v>5.440941176470589</x:v>
      </x:c>
      <x:c r="J7" s="399" t="n">
        <x:f>'02_APU_Recursos'!F7</x:f>
        <x:v>0.5</x:v>
      </x:c>
      <x:c r="K7" s="399" t="n">
        <x:f>IF('01_Parametros'!$B$15="Exacto",I7*J7,IF(B7="Material",'02_APU_Recursos'!L7*'03_Calculos_Plan'!$B$6,'02_APU_Recursos'!L7*'03_Calculos_Plan'!$B$6/'03_Calculos_Plan'!$B$9))</x:f>
        <x:v>2.7204705882352944</x:v>
      </x:c>
      <x:c r="L7" s="475" t="n">
        <x:f>IF(B7="Mano de obra",'02_APU_Recursos'!I7/('02_APU_Recursos'!E7*'03_Calculos_Plan'!$B$7),IF(B7="Equipo",'02_APU_Recursos'!I7/('02_APU_Recursos'!E7*'03_Calculos_Plan'!$B$7),1))</x:f>
        <x:v>1</x:v>
      </x:c>
      <x:c r="M7" s="478" t="str">
        <x:f>IF(B7="Material","Q × consumo unitario","Q × intensidad / Fp")</x:f>
        <x:v>Q × intensidad / Fp</x:v>
      </x:c>
      <x:c r="N7" s="352"/>
      <x:c r="O7" s="352"/>
      <x:c r="P7" s="352"/>
      <x:c r="Q7" s="352"/>
      <x:c r="R7" s="352"/>
      <x:c r="S7" s="352"/>
    </x:row>
    <x:row r="8">
      <x:c r="A8" s="504" t="str">
        <x:f>'02_APU_Recursos'!A8</x:f>
        <x:v>EQ-02</x:v>
      </x:c>
      <x:c r="B8" s="505" t="str">
        <x:f>'02_APU_Recursos'!B8</x:f>
        <x:v>Equipo</x:v>
      </x:c>
      <x:c r="C8" s="505" t="str">
        <x:f>'02_APU_Recursos'!C8</x:f>
        <x:v>Equipo de topografía</x:v>
      </x:c>
      <x:c r="D8" s="505" t="str">
        <x:f>'02_APU_Recursos'!J8</x:f>
        <x:v>EH/m²</x:v>
      </x:c>
      <x:c r="E8" s="412" t="n">
        <x:f>'02_APU_Recursos'!E8</x:f>
        <x:v>1</x:v>
      </x:c>
      <x:c r="F8" s="412" t="n">
        <x:f>0</x:f>
        <x:v>0</x:v>
      </x:c>
      <x:c r="G8" s="412" t="n">
        <x:f>'03_Calculos_Plan'!$B$14</x:f>
        <x:v>0.3400588235294118</x:v>
      </x:c>
      <x:c r="H8" s="412" t="n">
        <x:f>'03_Calculos_Plan'!$B$6*'02_APU_Recursos'!I8</x:f>
        <x:v>2.3124000000000002</x:v>
      </x:c>
      <x:c r="I8" s="412" t="n">
        <x:f>IF(OR(B8="Mano de obra",B8="Equipo"),H8/'03_Calculos_Plan'!$B$9,H8)</x:f>
        <x:v>2.7204705882352944</x:v>
      </x:c>
      <x:c r="J8" s="410" t="n">
        <x:f>'02_APU_Recursos'!F8</x:f>
        <x:v>8</x:v>
      </x:c>
      <x:c r="K8" s="410" t="n">
        <x:f>IF('01_Parametros'!$B$15="Exacto",I8*J8,IF(B8="Material",'02_APU_Recursos'!L8*'03_Calculos_Plan'!$B$6,'02_APU_Recursos'!L8*'03_Calculos_Plan'!$B$6/'03_Calculos_Plan'!$B$9))</x:f>
        <x:v>21.763764705882355</x:v>
      </x:c>
      <x:c r="L8" s="506" t="n">
        <x:f>IF(B8="Mano de obra",'02_APU_Recursos'!I8/('02_APU_Recursos'!E8*'03_Calculos_Plan'!$B$7),IF(B8="Equipo",'02_APU_Recursos'!I8/('02_APU_Recursos'!E8*'03_Calculos_Plan'!$B$7),1))</x:f>
        <x:v>1</x:v>
      </x:c>
      <x:c r="M8" s="480" t="str">
        <x:f>IF(B8="Material","Q × consumo unitario","Q × intensidad / Fp")</x:f>
        <x:v>Q × intensidad / Fp</x:v>
      </x:c>
      <x:c r="N8" s="352"/>
      <x:c r="O8" s="352"/>
      <x:c r="P8" s="352"/>
      <x:c r="Q8" s="352"/>
      <x:c r="R8" s="352"/>
      <x:c r="S8" s="352"/>
    </x:row>
    <x:row r="9">
      <x:c r="A9" s="504" t="str">
        <x:f>'02_APU_Recursos'!A9</x:f>
        <x:v>MAT-01</x:v>
      </x:c>
      <x:c r="B9" s="505" t="str">
        <x:f>'02_APU_Recursos'!B9</x:f>
        <x:v>Material</x:v>
      </x:c>
      <x:c r="C9" s="505" t="str">
        <x:f>'02_APU_Recursos'!C9</x:f>
        <x:v>Clavos</x:v>
      </x:c>
      <x:c r="D9" s="505" t="str">
        <x:f>'02_APU_Recursos'!J9</x:f>
        <x:v>kg/m²</x:v>
      </x:c>
      <x:c r="E9" s="412" t="n">
        <x:f>'02_APU_Recursos'!E9</x:f>
        <x:v>0.02</x:v>
      </x:c>
      <x:c r="F9" s="412" t="n">
        <x:f>0</x:f>
        <x:v>0</x:v>
      </x:c>
      <x:c r="G9" s="412" t="n">
        <x:f>'03_Calculos_Plan'!$B$14</x:f>
        <x:v>0.3400588235294118</x:v>
      </x:c>
      <x:c r="H9" s="412" t="n">
        <x:f>'03_Calculos_Plan'!$B$6*'02_APU_Recursos'!I9</x:f>
        <x:v>2.3124000000000002</x:v>
      </x:c>
      <x:c r="I9" s="412" t="n">
        <x:f>IF(OR(B9="Mano de obra",B9="Equipo"),H9/'03_Calculos_Plan'!$B$9,H9)</x:f>
        <x:v>2.3124000000000002</x:v>
      </x:c>
      <x:c r="J9" s="410" t="n">
        <x:f>'02_APU_Recursos'!F9</x:f>
        <x:v>1.91</x:v>
      </x:c>
      <x:c r="K9" s="410" t="n">
        <x:f>IF('01_Parametros'!$B$15="Exacto",I9*J9,IF(B9="Material",'02_APU_Recursos'!L9*'03_Calculos_Plan'!$B$6,'02_APU_Recursos'!L9*'03_Calculos_Plan'!$B$6/'03_Calculos_Plan'!$B$9))</x:f>
        <x:v>4.416684</x:v>
      </x:c>
      <x:c r="L9" s="506" t="n">
        <x:f>IF(B9="Mano de obra",'02_APU_Recursos'!I9/('02_APU_Recursos'!E9*'03_Calculos_Plan'!$B$7),IF(B9="Equipo",'02_APU_Recursos'!I9/('02_APU_Recursos'!E9*'03_Calculos_Plan'!$B$7),1))</x:f>
        <x:v>1</x:v>
      </x:c>
      <x:c r="M9" s="480" t="str">
        <x:f>IF(B9="Material","Q × consumo unitario","Q × intensidad / Fp")</x:f>
        <x:v>Q × consumo unitario</x:v>
      </x:c>
      <x:c r="N9" s="352"/>
      <x:c r="O9" s="352"/>
      <x:c r="P9" s="352"/>
      <x:c r="Q9" s="352"/>
      <x:c r="R9" s="352"/>
      <x:c r="S9" s="352"/>
    </x:row>
    <x:row r="10">
      <x:c r="A10" s="504" t="str">
        <x:f>'02_APU_Recursos'!A10</x:f>
        <x:v>MAT-02</x:v>
      </x:c>
      <x:c r="B10" s="505" t="str">
        <x:f>'02_APU_Recursos'!B10</x:f>
        <x:v>Material</x:v>
      </x:c>
      <x:c r="C10" s="505" t="str">
        <x:f>'02_APU_Recursos'!C10</x:f>
        <x:v>Tiras de eucalipto 2×2×300 cm</x:v>
      </x:c>
      <x:c r="D10" s="505" t="str">
        <x:f>'02_APU_Recursos'!J10</x:f>
        <x:v>u/m²</x:v>
      </x:c>
      <x:c r="E10" s="412" t="n">
        <x:f>'02_APU_Recursos'!E10</x:f>
        <x:v>0.2</x:v>
      </x:c>
      <x:c r="F10" s="412" t="n">
        <x:f>0</x:f>
        <x:v>0</x:v>
      </x:c>
      <x:c r="G10" s="412" t="n">
        <x:f>'03_Calculos_Plan'!$B$14</x:f>
        <x:v>0.3400588235294118</x:v>
      </x:c>
      <x:c r="H10" s="412" t="n">
        <x:f>'03_Calculos_Plan'!$B$6*'02_APU_Recursos'!I10</x:f>
        <x:v>23.124000000000002</x:v>
      </x:c>
      <x:c r="I10" s="412" t="n">
        <x:f>IF(OR(B10="Mano de obra",B10="Equipo"),H10/'03_Calculos_Plan'!$B$9,H10)</x:f>
        <x:v>23.124000000000002</x:v>
      </x:c>
      <x:c r="J10" s="410" t="n">
        <x:f>'02_APU_Recursos'!F10</x:f>
        <x:v>0.86</x:v>
      </x:c>
      <x:c r="K10" s="410" t="n">
        <x:f>IF('01_Parametros'!$B$15="Exacto",I10*J10,IF(B10="Material",'02_APU_Recursos'!L10*'03_Calculos_Plan'!$B$6,'02_APU_Recursos'!L10*'03_Calculos_Plan'!$B$6/'03_Calculos_Plan'!$B$9))</x:f>
        <x:v>19.886640000000003</x:v>
      </x:c>
      <x:c r="L10" s="506" t="n">
        <x:f>IF(B10="Mano de obra",'02_APU_Recursos'!I10/('02_APU_Recursos'!E10*'03_Calculos_Plan'!$B$7),IF(B10="Equipo",'02_APU_Recursos'!I10/('02_APU_Recursos'!E10*'03_Calculos_Plan'!$B$7),1))</x:f>
        <x:v>1</x:v>
      </x:c>
      <x:c r="M10" s="480" t="str">
        <x:f>IF(B10="Material","Q × consumo unitario","Q × intensidad / Fp")</x:f>
        <x:v>Q × consumo unitario</x:v>
      </x:c>
      <x:c r="N10" s="352"/>
      <x:c r="O10" s="352"/>
      <x:c r="P10" s="352"/>
      <x:c r="Q10" s="352"/>
      <x:c r="R10" s="352"/>
      <x:c r="S10" s="352"/>
    </x:row>
    <x:row r="11">
      <x:c r="A11" s="504" t="str">
        <x:f>'02_APU_Recursos'!A11</x:f>
        <x:v>MAT-03</x:v>
      </x:c>
      <x:c r="B11" s="505" t="str">
        <x:f>'02_APU_Recursos'!B11</x:f>
        <x:v>Material</x:v>
      </x:c>
      <x:c r="C11" s="505" t="str">
        <x:f>'02_APU_Recursos'!C11</x:f>
        <x:v>Pintura esmalte</x:v>
      </x:c>
      <x:c r="D11" s="505" t="str">
        <x:f>'02_APU_Recursos'!J11</x:f>
        <x:v>gal/m²</x:v>
      </x:c>
      <x:c r="E11" s="412" t="n">
        <x:f>'02_APU_Recursos'!E11</x:f>
        <x:v>0.01</x:v>
      </x:c>
      <x:c r="F11" s="412" t="n">
        <x:f>0</x:f>
        <x:v>0</x:v>
      </x:c>
      <x:c r="G11" s="412" t="n">
        <x:f>'03_Calculos_Plan'!$B$14</x:f>
        <x:v>0.3400588235294118</x:v>
      </x:c>
      <x:c r="H11" s="412" t="n">
        <x:f>'03_Calculos_Plan'!$B$6*'02_APU_Recursos'!I11</x:f>
        <x:v>1.1562000000000001</x:v>
      </x:c>
      <x:c r="I11" s="412" t="n">
        <x:f>IF(OR(B11="Mano de obra",B11="Equipo"),H11/'03_Calculos_Plan'!$B$9,H11)</x:f>
        <x:v>1.1562000000000001</x:v>
      </x:c>
      <x:c r="J11" s="410" t="n">
        <x:f>'02_APU_Recursos'!F11</x:f>
        <x:v>16.93</x:v>
      </x:c>
      <x:c r="K11" s="410" t="n">
        <x:f>IF('01_Parametros'!$B$15="Exacto",I11*J11,IF(B11="Material",'02_APU_Recursos'!L11*'03_Calculos_Plan'!$B$6,'02_APU_Recursos'!L11*'03_Calculos_Plan'!$B$6/'03_Calculos_Plan'!$B$9))</x:f>
        <x:v>19.574466</x:v>
      </x:c>
      <x:c r="L11" s="506" t="n">
        <x:f>IF(B11="Mano de obra",'02_APU_Recursos'!I11/('02_APU_Recursos'!E11*'03_Calculos_Plan'!$B$7),IF(B11="Equipo",'02_APU_Recursos'!I11/('02_APU_Recursos'!E11*'03_Calculos_Plan'!$B$7),1))</x:f>
        <x:v>1</x:v>
      </x:c>
      <x:c r="M11" s="480" t="str">
        <x:f>IF(B11="Material","Q × consumo unitario","Q × intensidad / Fp")</x:f>
        <x:v>Q × consumo unitario</x:v>
      </x:c>
      <x:c r="N11" s="352"/>
      <x:c r="O11" s="352"/>
      <x:c r="P11" s="352"/>
      <x:c r="Q11" s="352"/>
      <x:c r="R11" s="352"/>
      <x:c r="S11" s="352"/>
    </x:row>
    <x:row r="12">
      <x:c r="A12" s="504" t="str">
        <x:f>'02_APU_Recursos'!A12</x:f>
        <x:v>MO-01</x:v>
      </x:c>
      <x:c r="B12" s="505" t="str">
        <x:f>'02_APU_Recursos'!B12</x:f>
        <x:v>Mano de obra</x:v>
      </x:c>
      <x:c r="C12" s="505" t="str">
        <x:f>'02_APU_Recursos'!C12</x:f>
        <x:v>Peón</x:v>
      </x:c>
      <x:c r="D12" s="505" t="str">
        <x:f>'02_APU_Recursos'!J12</x:f>
        <x:v>HH/m²</x:v>
      </x:c>
      <x:c r="E12" s="412" t="n">
        <x:f>'02_APU_Recursos'!E12</x:f>
        <x:v>2</x:v>
      </x:c>
      <x:c r="F12" s="412" t="n">
        <x:f>0</x:f>
        <x:v>0</x:v>
      </x:c>
      <x:c r="G12" s="412" t="n">
        <x:f>'03_Calculos_Plan'!$B$14</x:f>
        <x:v>0.3400588235294118</x:v>
      </x:c>
      <x:c r="H12" s="412" t="n">
        <x:f>'03_Calculos_Plan'!$B$6*'02_APU_Recursos'!I12</x:f>
        <x:v>4.6248000000000005</x:v>
      </x:c>
      <x:c r="I12" s="412" t="n">
        <x:f>IF(OR(B12="Mano de obra",B12="Equipo"),H12/'03_Calculos_Plan'!$B$9,H12)</x:f>
        <x:v>5.440941176470589</x:v>
      </x:c>
      <x:c r="J12" s="410" t="n">
        <x:f>'02_APU_Recursos'!F12</x:f>
        <x:v>4.23</x:v>
      </x:c>
      <x:c r="K12" s="410" t="n">
        <x:f>IF('01_Parametros'!$B$15="Exacto",I12*J12,IF(B12="Material",'02_APU_Recursos'!L12*'03_Calculos_Plan'!$B$6,'02_APU_Recursos'!L12*'03_Calculos_Plan'!$B$6/'03_Calculos_Plan'!$B$9))</x:f>
        <x:v>23.015181176470595</x:v>
      </x:c>
      <x:c r="L12" s="506" t="n">
        <x:f>IF(B12="Mano de obra",'02_APU_Recursos'!I12/('02_APU_Recursos'!E12*'03_Calculos_Plan'!$B$7),IF(B12="Equipo",'02_APU_Recursos'!I12/('02_APU_Recursos'!E12*'03_Calculos_Plan'!$B$7),1))</x:f>
        <x:v>1</x:v>
      </x:c>
      <x:c r="M12" s="480" t="str">
        <x:f>IF(B12="Material","Q × consumo unitario","Q × intensidad / Fp")</x:f>
        <x:v>Q × intensidad / Fp</x:v>
      </x:c>
      <x:c r="N12" s="352"/>
      <x:c r="O12" s="352"/>
      <x:c r="P12" s="352"/>
      <x:c r="Q12" s="352"/>
      <x:c r="R12" s="352"/>
      <x:c r="S12" s="352"/>
    </x:row>
    <x:row r="13">
      <x:c r="A13" s="504" t="str">
        <x:f>'02_APU_Recursos'!A13</x:f>
        <x:v>MO-02</x:v>
      </x:c>
      <x:c r="B13" s="505" t="str">
        <x:f>'02_APU_Recursos'!B13</x:f>
        <x:v>Mano de obra</x:v>
      </x:c>
      <x:c r="C13" s="505" t="str">
        <x:f>'02_APU_Recursos'!C13</x:f>
        <x:v>Topógrafo</x:v>
      </x:c>
      <x:c r="D13" s="505" t="str">
        <x:f>'02_APU_Recursos'!J13</x:f>
        <x:v>HH/m²</x:v>
      </x:c>
      <x:c r="E13" s="412" t="n">
        <x:f>'02_APU_Recursos'!E13</x:f>
        <x:v>1</x:v>
      </x:c>
      <x:c r="F13" s="412" t="n">
        <x:f>0</x:f>
        <x:v>0</x:v>
      </x:c>
      <x:c r="G13" s="412" t="n">
        <x:f>'03_Calculos_Plan'!$B$14</x:f>
        <x:v>0.3400588235294118</x:v>
      </x:c>
      <x:c r="H13" s="412" t="n">
        <x:f>'03_Calculos_Plan'!$B$6*'02_APU_Recursos'!I13</x:f>
        <x:v>2.3124000000000002</x:v>
      </x:c>
      <x:c r="I13" s="412" t="n">
        <x:f>IF(OR(B13="Mano de obra",B13="Equipo"),H13/'03_Calculos_Plan'!$B$9,H13)</x:f>
        <x:v>2.7204705882352944</x:v>
      </x:c>
      <x:c r="J13" s="410" t="n">
        <x:f>'02_APU_Recursos'!F13</x:f>
        <x:v>4.75</x:v>
      </x:c>
      <x:c r="K13" s="410" t="n">
        <x:f>IF('01_Parametros'!$B$15="Exacto",I13*J13,IF(B13="Material",'02_APU_Recursos'!L13*'03_Calculos_Plan'!$B$6,'02_APU_Recursos'!L13*'03_Calculos_Plan'!$B$6/'03_Calculos_Plan'!$B$9))</x:f>
        <x:v>12.922235294117648</x:v>
      </x:c>
      <x:c r="L13" s="506" t="n">
        <x:f>IF(B13="Mano de obra",'02_APU_Recursos'!I13/('02_APU_Recursos'!E13*'03_Calculos_Plan'!$B$7),IF(B13="Equipo",'02_APU_Recursos'!I13/('02_APU_Recursos'!E13*'03_Calculos_Plan'!$B$7),1))</x:f>
        <x:v>1</x:v>
      </x:c>
      <x:c r="M13" s="480" t="str">
        <x:f>IF(B13="Material","Q × consumo unitario","Q × intensidad / Fp")</x:f>
        <x:v>Q × intensidad / Fp</x:v>
      </x:c>
      <x:c r="N13" s="352"/>
      <x:c r="O13" s="352"/>
      <x:c r="P13" s="352"/>
      <x:c r="Q13" s="352"/>
      <x:c r="R13" s="352"/>
      <x:c r="S13" s="352"/>
    </x:row>
    <x:row r="14">
      <x:c r="A14" s="507" t="str">
        <x:f>'02_APU_Recursos'!A14</x:f>
        <x:v>MO-03</x:v>
      </x:c>
      <x:c r="B14" s="508" t="str">
        <x:f>'02_APU_Recursos'!B14</x:f>
        <x:v>Mano de obra</x:v>
      </x:c>
      <x:c r="C14" s="508" t="str">
        <x:f>'02_APU_Recursos'!C14</x:f>
        <x:v>Maestro mayor</x:v>
      </x:c>
      <x:c r="D14" s="508" t="str">
        <x:f>'02_APU_Recursos'!J14</x:f>
        <x:v>HH/m²</x:v>
      </x:c>
      <x:c r="E14" s="423" t="n">
        <x:f>'02_APU_Recursos'!E14</x:f>
        <x:v>1</x:v>
      </x:c>
      <x:c r="F14" s="423" t="n">
        <x:f>0</x:f>
        <x:v>0</x:v>
      </x:c>
      <x:c r="G14" s="423" t="n">
        <x:f>'03_Calculos_Plan'!$B$14</x:f>
        <x:v>0.3400588235294118</x:v>
      </x:c>
      <x:c r="H14" s="423" t="n">
        <x:f>'03_Calculos_Plan'!$B$6*'02_APU_Recursos'!I14</x:f>
        <x:v>0.69372</x:v>
      </x:c>
      <x:c r="I14" s="423" t="n">
        <x:f>IF(OR(B14="Mano de obra",B14="Equipo"),H14/'03_Calculos_Plan'!$B$9,H14)</x:f>
        <x:v>0.8161411764705883</x:v>
      </x:c>
      <x:c r="J14" s="421" t="n">
        <x:f>'02_APU_Recursos'!F14</x:f>
        <x:v>4.75</x:v>
      </x:c>
      <x:c r="K14" s="421" t="n">
        <x:f>IF('01_Parametros'!$B$15="Exacto",I14*J14,IF(B14="Material",'02_APU_Recursos'!L14*'03_Calculos_Plan'!$B$6,'02_APU_Recursos'!L14*'03_Calculos_Plan'!$B$6/'03_Calculos_Plan'!$B$9))</x:f>
        <x:v>3.876670588235294</x:v>
      </x:c>
      <x:c r="L14" s="476" t="n">
        <x:f>IF(B14="Mano de obra",'02_APU_Recursos'!I14/('02_APU_Recursos'!E14*'03_Calculos_Plan'!$B$7),IF(B14="Equipo",'02_APU_Recursos'!I14/('02_APU_Recursos'!E14*'03_Calculos_Plan'!$B$7),1))</x:f>
        <x:v>0.3</x:v>
      </x:c>
      <x:c r="M14" s="482" t="str">
        <x:f>IF(B14="Material","Q × consumo unitario","Q × intensidad / Fp")</x:f>
        <x:v>Q × intensidad / Fp</x:v>
      </x:c>
      <x:c r="N14" s="352"/>
      <x:c r="O14" s="352"/>
      <x:c r="P14" s="352"/>
      <x:c r="Q14" s="352"/>
      <x:c r="R14" s="352"/>
      <x:c r="S14" s="352"/>
    </x:row>
    <x:row r="15">
      <x:c r="A15" s="352"/>
      <x:c r="B15" s="352"/>
      <x:c r="C15" s="352"/>
      <x:c r="D15" s="352"/>
      <x:c r="E15" s="352"/>
      <x:c r="F15" s="352"/>
      <x:c r="G15" s="352"/>
      <x:c r="H15" s="352"/>
      <x:c r="I15" s="352"/>
      <x:c r="J15" s="352"/>
      <x:c r="K15" s="352"/>
      <x:c r="L15" s="352"/>
      <x:c r="M15" s="352"/>
      <x:c r="N15" s="352"/>
      <x:c r="O15" s="352"/>
      <x:c r="P15" s="352"/>
      <x:c r="Q15" s="352"/>
      <x:c r="R15" s="352"/>
      <x:c r="S15" s="352"/>
    </x:row>
    <x:row r="16">
      <x:c r="A16" s="352"/>
      <x:c r="B16" s="352"/>
      <x:c r="C16" s="352"/>
      <x:c r="D16" s="352"/>
      <x:c r="E16" s="352"/>
      <x:c r="F16" s="352"/>
      <x:c r="G16" s="352"/>
      <x:c r="H16" s="352"/>
      <x:c r="I16" s="352"/>
      <x:c r="J16" s="352"/>
      <x:c r="K16" s="352"/>
      <x:c r="L16" s="352"/>
      <x:c r="M16" s="352"/>
      <x:c r="N16" s="352"/>
      <x:c r="O16" s="352"/>
      <x:c r="P16" s="352"/>
      <x:c r="Q16" s="352"/>
      <x:c r="R16" s="352"/>
      <x:c r="S16" s="352"/>
    </x:row>
    <x:row r="17" ht="22" customHeight="1">
      <x:c r="A17" s="21" t="str">
        <x:v>RESUMEN POR CATEGORÍA</x:v>
      </x:c>
      <x:c r="B17" s="352"/>
      <x:c r="C17" s="352"/>
      <x:c r="D17" s="352"/>
      <x:c r="E17" s="352"/>
      <x:c r="F17" s="352"/>
      <x:c r="G17" s="352"/>
      <x:c r="H17" s="352"/>
      <x:c r="I17" s="352"/>
      <x:c r="J17" s="352"/>
      <x:c r="K17" s="352"/>
      <x:c r="L17" s="352"/>
      <x:c r="M17" s="352"/>
      <x:c r="N17" s="352"/>
      <x:c r="O17" s="352"/>
      <x:c r="P17" s="352"/>
      <x:c r="Q17" s="352"/>
      <x:c r="R17" s="352"/>
      <x:c r="S17" s="352"/>
    </x:row>
    <x:row r="18" ht="30" customHeight="1">
      <x:c r="A18" s="78" t="str">
        <x:v>Categoría</x:v>
      </x:c>
      <x:c r="B18" s="78" t="str">
        <x:v>Consumo planificado</x:v>
      </x:c>
      <x:c r="C18" s="78" t="str">
        <x:v>Costo planificado</x:v>
      </x:c>
      <x:c r="D18" s="78" t="str">
        <x:v>Participación costo</x:v>
      </x:c>
      <x:c r="E18" s="352"/>
      <x:c r="F18" s="352"/>
      <x:c r="G18" s="352"/>
      <x:c r="H18" s="352"/>
      <x:c r="I18" s="352"/>
      <x:c r="J18" s="352"/>
      <x:c r="K18" s="352"/>
      <x:c r="L18" s="352"/>
      <x:c r="M18" s="352"/>
      <x:c r="N18" s="352"/>
      <x:c r="O18" s="352"/>
      <x:c r="P18" s="352"/>
      <x:c r="Q18" s="352"/>
      <x:c r="R18" s="352"/>
      <x:c r="S18" s="352"/>
    </x:row>
    <x:row r="19">
      <x:c r="A19" s="352" t="str">
        <x:v>Equipo</x:v>
      </x:c>
      <x:c r="B19" s="397" t="n">
        <x:f>SUMIF($B$7:$B$14,"Equipo",$I$7:$I$14)</x:f>
        <x:v>8.161411764705884</x:v>
      </x:c>
      <x:c r="C19" s="399" t="n">
        <x:f>SUMIF($B$7:$B$14,"Equipo",$K$7:$K$14)</x:f>
        <x:v>24.48423529411765</x:v>
      </x:c>
      <x:c r="D19" s="509" t="n">
        <x:f>C19/$C$22</x:f>
        <x:v>0.22633680173524878</x:v>
      </x:c>
      <x:c r="E19" s="352"/>
      <x:c r="F19" s="352"/>
      <x:c r="G19" s="352"/>
      <x:c r="H19" s="352"/>
      <x:c r="I19" s="352"/>
      <x:c r="J19" s="352"/>
      <x:c r="K19" s="352"/>
      <x:c r="L19" s="352"/>
      <x:c r="M19" s="352"/>
      <x:c r="N19" s="352"/>
      <x:c r="O19" s="352"/>
      <x:c r="P19" s="352"/>
      <x:c r="Q19" s="352"/>
      <x:c r="R19" s="352"/>
      <x:c r="S19" s="352"/>
    </x:row>
    <x:row r="20">
      <x:c r="A20" s="352" t="str">
        <x:v>Material</x:v>
      </x:c>
      <x:c r="B20" s="408" t="n">
        <x:f>SUMIF($B$7:$B$14,"Material",$I$7:$I$14)</x:f>
        <x:v>26.592600000000004</x:v>
      </x:c>
      <x:c r="C20" s="410" t="n">
        <x:f>SUMIF($B$7:$B$14,"Material",$K$7:$K$14)</x:f>
        <x:v>43.877790000000005</x:v>
      </x:c>
      <x:c r="D20" s="510" t="n">
        <x:f>C20/$C$22</x:f>
        <x:v>0.40561441010971044</x:v>
      </x:c>
      <x:c r="E20" s="352"/>
      <x:c r="F20" s="352"/>
      <x:c r="G20" s="352"/>
      <x:c r="H20" s="352"/>
      <x:c r="I20" s="352"/>
      <x:c r="J20" s="352"/>
      <x:c r="K20" s="352"/>
      <x:c r="L20" s="352"/>
      <x:c r="M20" s="352"/>
      <x:c r="N20" s="352"/>
      <x:c r="O20" s="352"/>
      <x:c r="P20" s="352"/>
      <x:c r="Q20" s="352"/>
      <x:c r="R20" s="352"/>
      <x:c r="S20" s="352"/>
    </x:row>
    <x:row r="21">
      <x:c r="A21" s="352" t="str">
        <x:v>Mano de obra</x:v>
      </x:c>
      <x:c r="B21" s="408" t="n">
        <x:f>SUMIF($B$7:$B$14,"Mano de obra",$I$7:$I$14)</x:f>
        <x:v>8.977552941176471</x:v>
      </x:c>
      <x:c r="C21" s="410" t="n">
        <x:f>SUMIF($B$7:$B$14,"Mano de obra",$K$7:$K$14)</x:f>
        <x:v>39.81408705882354</x:v>
      </x:c>
      <x:c r="D21" s="510" t="n">
        <x:f>C21/$C$22</x:f>
        <x:v>0.3680487881550407</x:v>
      </x:c>
      <x:c r="E21" s="352"/>
      <x:c r="F21" s="352"/>
      <x:c r="G21" s="352"/>
      <x:c r="H21" s="352"/>
      <x:c r="I21" s="352"/>
      <x:c r="J21" s="352"/>
      <x:c r="K21" s="352"/>
      <x:c r="L21" s="352"/>
      <x:c r="M21" s="352"/>
      <x:c r="N21" s="352"/>
      <x:c r="O21" s="352"/>
      <x:c r="P21" s="352"/>
      <x:c r="Q21" s="352"/>
      <x:c r="R21" s="352"/>
      <x:c r="S21" s="352"/>
    </x:row>
    <x:row r="22">
      <x:c r="A22" s="352" t="str">
        <x:v>Total</x:v>
      </x:c>
      <x:c r="B22" s="419" t="n">
        <x:f>SUM(B19:B21)</x:f>
        <x:v>43.731564705882356</x:v>
      </x:c>
      <x:c r="C22" s="421" t="n">
        <x:f>SUM(C19:C21)</x:f>
        <x:v>108.1761123529412</x:v>
      </x:c>
      <x:c r="D22" s="511" t="n">
        <x:f>SUM(D19:D21)</x:f>
        <x:v>1</x:v>
      </x:c>
      <x:c r="E22" s="352"/>
      <x:c r="F22" s="352"/>
      <x:c r="G22" s="352"/>
      <x:c r="H22" s="352"/>
      <x:c r="I22" s="352"/>
      <x:c r="J22" s="352"/>
      <x:c r="K22" s="352"/>
      <x:c r="L22" s="352"/>
      <x:c r="M22" s="352"/>
      <x:c r="N22" s="352"/>
      <x:c r="O22" s="352"/>
      <x:c r="P22" s="352"/>
      <x:c r="Q22" s="352"/>
      <x:c r="R22" s="352"/>
      <x:c r="S22" s="352"/>
    </x:row>
    <x:row r="23">
      <x:c r="A23" s="352"/>
      <x:c r="B23" s="352"/>
      <x:c r="C23" s="352"/>
      <x:c r="D23" s="352"/>
      <x:c r="E23" s="352"/>
      <x:c r="F23" s="352"/>
      <x:c r="G23" s="352"/>
      <x:c r="H23" s="352"/>
      <x:c r="I23" s="352"/>
      <x:c r="J23" s="352"/>
      <x:c r="K23" s="352"/>
      <x:c r="L23" s="352"/>
      <x:c r="M23" s="352"/>
      <x:c r="N23" s="352"/>
      <x:c r="O23" s="352"/>
      <x:c r="P23" s="352"/>
      <x:c r="Q23" s="352"/>
      <x:c r="R23" s="352"/>
      <x:c r="S23" s="352"/>
    </x:row>
    <x:row r="24">
      <x:c r="A24" s="352"/>
      <x:c r="B24" s="352"/>
      <x:c r="C24" s="352"/>
      <x:c r="D24" s="352"/>
      <x:c r="E24" s="352"/>
      <x:c r="F24" s="352"/>
      <x:c r="G24" s="352"/>
      <x:c r="H24" s="352"/>
      <x:c r="I24" s="352"/>
      <x:c r="J24" s="352"/>
      <x:c r="K24" s="352"/>
      <x:c r="L24" s="352"/>
      <x:c r="M24" s="352"/>
      <x:c r="N24" s="352"/>
      <x:c r="O24" s="352"/>
      <x:c r="P24" s="352"/>
      <x:c r="Q24" s="352"/>
      <x:c r="R24" s="352"/>
      <x:c r="S24" s="352"/>
    </x:row>
    <x:row r="25">
      <x:c r="A25" s="352"/>
      <x:c r="B25" s="352"/>
      <x:c r="C25" s="352"/>
      <x:c r="D25" s="352"/>
      <x:c r="E25" s="352"/>
      <x:c r="F25" s="352"/>
      <x:c r="G25" s="352"/>
      <x:c r="H25" s="352"/>
      <x:c r="I25" s="352"/>
      <x:c r="J25" s="352"/>
      <x:c r="K25" s="352"/>
      <x:c r="L25" s="352"/>
      <x:c r="M25" s="352"/>
      <x:c r="N25" s="352"/>
      <x:c r="O25" s="352"/>
      <x:c r="P25" s="352"/>
      <x:c r="Q25" s="352"/>
      <x:c r="R25" s="352"/>
      <x:c r="S25" s="352"/>
    </x:row>
    <x:row r="26">
      <x:c r="A26" s="352"/>
      <x:c r="B26" s="352"/>
      <x:c r="C26" s="352"/>
      <x:c r="D26" s="352"/>
      <x:c r="E26" s="352"/>
      <x:c r="F26" s="352"/>
      <x:c r="G26" s="352"/>
      <x:c r="H26" s="352"/>
      <x:c r="I26" s="352"/>
      <x:c r="J26" s="352"/>
      <x:c r="K26" s="352"/>
      <x:c r="L26" s="352"/>
      <x:c r="M26" s="352"/>
      <x:c r="N26" s="352"/>
      <x:c r="O26" s="352"/>
      <x:c r="P26" s="352"/>
      <x:c r="Q26" s="352"/>
      <x:c r="R26" s="352"/>
      <x:c r="S26" s="352"/>
    </x:row>
    <x:row r="27">
      <x:c r="A27" s="352"/>
      <x:c r="B27" s="352"/>
      <x:c r="C27" s="352"/>
      <x:c r="D27" s="352"/>
      <x:c r="E27" s="352"/>
      <x:c r="F27" s="352"/>
      <x:c r="G27" s="352"/>
      <x:c r="H27" s="352"/>
      <x:c r="I27" s="352"/>
      <x:c r="J27" s="352"/>
      <x:c r="K27" s="352"/>
      <x:c r="L27" s="352"/>
      <x:c r="M27" s="352"/>
      <x:c r="N27" s="352"/>
      <x:c r="O27" s="352"/>
      <x:c r="P27" s="352"/>
      <x:c r="Q27" s="352"/>
      <x:c r="R27" s="352"/>
      <x:c r="S27" s="352"/>
    </x:row>
    <x:row r="28">
      <x:c r="A28" s="352"/>
      <x:c r="B28" s="352"/>
      <x:c r="C28" s="352"/>
      <x:c r="D28" s="352"/>
      <x:c r="E28" s="352"/>
      <x:c r="F28" s="352"/>
      <x:c r="G28" s="352"/>
      <x:c r="H28" s="352"/>
      <x:c r="I28" s="352"/>
      <x:c r="J28" s="352"/>
      <x:c r="K28" s="352"/>
      <x:c r="L28" s="352"/>
      <x:c r="M28" s="352"/>
      <x:c r="N28" s="352"/>
      <x:c r="O28" s="352"/>
      <x:c r="P28" s="352"/>
      <x:c r="Q28" s="352"/>
      <x:c r="R28" s="352"/>
      <x:c r="S28" s="352"/>
    </x:row>
    <x:row r="29">
      <x:c r="A29" s="352"/>
      <x:c r="B29" s="352"/>
      <x:c r="C29" s="352"/>
      <x:c r="D29" s="352"/>
      <x:c r="E29" s="352"/>
      <x:c r="F29" s="352"/>
      <x:c r="G29" s="352"/>
      <x:c r="H29" s="352"/>
      <x:c r="I29" s="352"/>
      <x:c r="J29" s="352"/>
      <x:c r="K29" s="352"/>
      <x:c r="L29" s="352"/>
      <x:c r="M29" s="352"/>
      <x:c r="N29" s="352"/>
      <x:c r="O29" s="352"/>
      <x:c r="P29" s="352"/>
      <x:c r="Q29" s="352"/>
      <x:c r="R29" s="352"/>
      <x:c r="S29" s="352"/>
    </x:row>
    <x:row r="30">
      <x:c r="A30" s="352"/>
      <x:c r="B30" s="352"/>
      <x:c r="C30" s="352"/>
      <x:c r="D30" s="352"/>
      <x:c r="E30" s="352"/>
      <x:c r="F30" s="352"/>
      <x:c r="G30" s="352"/>
      <x:c r="H30" s="352"/>
      <x:c r="I30" s="352"/>
      <x:c r="J30" s="352"/>
      <x:c r="K30" s="352"/>
      <x:c r="L30" s="352"/>
      <x:c r="M30" s="352"/>
      <x:c r="N30" s="352"/>
      <x:c r="O30" s="352"/>
      <x:c r="P30" s="352"/>
      <x:c r="Q30" s="352"/>
      <x:c r="R30" s="352"/>
      <x:c r="S30" s="352"/>
    </x:row>
    <x:row r="31">
      <x:c r="A31" s="352"/>
      <x:c r="B31" s="352"/>
      <x:c r="C31" s="352"/>
      <x:c r="D31" s="352"/>
      <x:c r="E31" s="352"/>
      <x:c r="F31" s="352"/>
      <x:c r="G31" s="352"/>
      <x:c r="H31" s="352"/>
      <x:c r="I31" s="352"/>
      <x:c r="J31" s="352"/>
      <x:c r="K31" s="352"/>
      <x:c r="L31" s="352"/>
      <x:c r="M31" s="352"/>
      <x:c r="N31" s="352"/>
      <x:c r="O31" s="352"/>
      <x:c r="P31" s="352"/>
      <x:c r="Q31" s="352"/>
      <x:c r="R31" s="352"/>
      <x:c r="S31" s="352"/>
    </x:row>
    <x:row r="32">
      <x:c r="A32" s="352"/>
      <x:c r="B32" s="352"/>
      <x:c r="C32" s="352"/>
      <x:c r="D32" s="352"/>
      <x:c r="E32" s="352"/>
      <x:c r="F32" s="352"/>
      <x:c r="G32" s="352"/>
      <x:c r="H32" s="352"/>
      <x:c r="I32" s="352"/>
      <x:c r="J32" s="352"/>
      <x:c r="K32" s="352"/>
      <x:c r="L32" s="352"/>
      <x:c r="M32" s="352"/>
      <x:c r="N32" s="352"/>
      <x:c r="O32" s="352"/>
      <x:c r="P32" s="352"/>
      <x:c r="Q32" s="352"/>
      <x:c r="R32" s="352"/>
      <x:c r="S32" s="352"/>
    </x:row>
    <x:row r="33">
      <x:c r="A33" s="352"/>
      <x:c r="B33" s="352"/>
      <x:c r="C33" s="352"/>
      <x:c r="D33" s="352"/>
      <x:c r="E33" s="352"/>
      <x:c r="F33" s="352"/>
      <x:c r="G33" s="352"/>
      <x:c r="H33" s="352"/>
      <x:c r="I33" s="352"/>
      <x:c r="J33" s="352"/>
      <x:c r="K33" s="352"/>
      <x:c r="L33" s="352"/>
      <x:c r="M33" s="352"/>
      <x:c r="N33" s="352"/>
      <x:c r="O33" s="352"/>
      <x:c r="P33" s="352"/>
      <x:c r="Q33" s="352"/>
      <x:c r="R33" s="352"/>
      <x:c r="S33" s="352"/>
    </x:row>
    <x:row r="34">
      <x:c r="A34" s="352"/>
      <x:c r="B34" s="352"/>
      <x:c r="C34" s="352"/>
      <x:c r="D34" s="352"/>
      <x:c r="E34" s="352"/>
      <x:c r="F34" s="352"/>
      <x:c r="G34" s="352"/>
      <x:c r="H34" s="352"/>
      <x:c r="I34" s="352"/>
      <x:c r="J34" s="352"/>
      <x:c r="K34" s="352"/>
      <x:c r="L34" s="352"/>
      <x:c r="M34" s="352"/>
      <x:c r="N34" s="352"/>
      <x:c r="O34" s="352"/>
      <x:c r="P34" s="352"/>
      <x:c r="Q34" s="352"/>
      <x:c r="R34" s="352"/>
      <x:c r="S34" s="352"/>
    </x:row>
    <x:row r="35">
      <x:c r="A35" s="352"/>
      <x:c r="B35" s="352"/>
      <x:c r="C35" s="352"/>
      <x:c r="D35" s="352"/>
      <x:c r="E35" s="352"/>
      <x:c r="F35" s="352"/>
      <x:c r="G35" s="352"/>
      <x:c r="H35" s="352"/>
      <x:c r="I35" s="352"/>
      <x:c r="J35" s="352"/>
      <x:c r="K35" s="352"/>
      <x:c r="L35" s="352"/>
      <x:c r="M35" s="352"/>
      <x:c r="N35" s="352"/>
      <x:c r="O35" s="352"/>
      <x:c r="P35" s="352"/>
      <x:c r="Q35" s="352"/>
      <x:c r="R35" s="352"/>
      <x:c r="S35" s="352"/>
    </x:row>
    <x:row r="36">
      <x:c r="A36" s="352"/>
      <x:c r="B36" s="352"/>
      <x:c r="C36" s="352"/>
      <x:c r="D36" s="352"/>
      <x:c r="E36" s="352"/>
      <x:c r="F36" s="352"/>
      <x:c r="G36" s="352"/>
      <x:c r="H36" s="352"/>
      <x:c r="I36" s="352"/>
      <x:c r="J36" s="352"/>
      <x:c r="K36" s="352"/>
      <x:c r="L36" s="352"/>
      <x:c r="M36" s="352"/>
      <x:c r="N36" s="352"/>
      <x:c r="O36" s="352"/>
      <x:c r="P36" s="352"/>
      <x:c r="Q36" s="352"/>
      <x:c r="R36" s="352"/>
      <x:c r="S36" s="352"/>
    </x:row>
    <x:row r="37">
      <x:c r="A37" s="352"/>
      <x:c r="B37" s="352"/>
      <x:c r="C37" s="352"/>
      <x:c r="D37" s="352"/>
      <x:c r="E37" s="352"/>
      <x:c r="F37" s="352"/>
      <x:c r="G37" s="352"/>
      <x:c r="H37" s="352"/>
      <x:c r="I37" s="352"/>
      <x:c r="J37" s="352"/>
      <x:c r="K37" s="352"/>
      <x:c r="L37" s="352"/>
      <x:c r="M37" s="352"/>
      <x:c r="N37" s="352"/>
      <x:c r="O37" s="352"/>
      <x:c r="P37" s="352"/>
      <x:c r="Q37" s="352"/>
      <x:c r="R37" s="352"/>
      <x:c r="S37" s="352"/>
    </x:row>
    <x:row r="38">
      <x:c r="A38" s="352"/>
      <x:c r="B38" s="352"/>
      <x:c r="C38" s="352"/>
      <x:c r="D38" s="352"/>
      <x:c r="E38" s="352"/>
      <x:c r="F38" s="352"/>
      <x:c r="G38" s="352"/>
      <x:c r="H38" s="352"/>
      <x:c r="I38" s="352"/>
      <x:c r="J38" s="352"/>
      <x:c r="K38" s="352"/>
      <x:c r="L38" s="352"/>
      <x:c r="M38" s="352"/>
      <x:c r="N38" s="352"/>
      <x:c r="O38" s="352"/>
      <x:c r="P38" s="352"/>
      <x:c r="Q38" s="352"/>
      <x:c r="R38" s="352"/>
      <x:c r="S38" s="352"/>
    </x:row>
    <x:row r="39">
      <x:c r="A39" s="352"/>
      <x:c r="B39" s="352"/>
      <x:c r="C39" s="352"/>
      <x:c r="D39" s="352"/>
      <x:c r="E39" s="352"/>
      <x:c r="F39" s="352"/>
      <x:c r="G39" s="352"/>
      <x:c r="H39" s="352"/>
      <x:c r="I39" s="352"/>
      <x:c r="J39" s="352"/>
      <x:c r="K39" s="352"/>
      <x:c r="L39" s="352"/>
      <x:c r="M39" s="352"/>
      <x:c r="N39" s="352"/>
      <x:c r="O39" s="352"/>
      <x:c r="P39" s="352"/>
      <x:c r="Q39" s="352"/>
      <x:c r="R39" s="352"/>
      <x:c r="S39" s="352"/>
    </x:row>
    <x:row r="40">
      <x:c r="A40" s="352"/>
      <x:c r="B40" s="352"/>
      <x:c r="C40" s="352"/>
      <x:c r="D40" s="352"/>
      <x:c r="E40" s="352"/>
      <x:c r="F40" s="352"/>
      <x:c r="G40" s="352"/>
      <x:c r="H40" s="352"/>
      <x:c r="I40" s="352"/>
      <x:c r="J40" s="352"/>
      <x:c r="K40" s="352"/>
      <x:c r="L40" s="352"/>
      <x:c r="M40" s="352"/>
      <x:c r="N40" s="352"/>
      <x:c r="O40" s="352"/>
      <x:c r="P40" s="352"/>
      <x:c r="Q40" s="352"/>
      <x:c r="R40" s="352"/>
      <x:c r="S40" s="352"/>
    </x:row>
    <x:row r="41">
      <x:c r="A41" s="352"/>
      <x:c r="B41" s="352"/>
      <x:c r="C41" s="352"/>
      <x:c r="D41" s="352"/>
      <x:c r="E41" s="352"/>
      <x:c r="F41" s="352"/>
      <x:c r="G41" s="352"/>
      <x:c r="H41" s="352"/>
      <x:c r="I41" s="352"/>
      <x:c r="J41" s="352"/>
      <x:c r="K41" s="352"/>
      <x:c r="L41" s="352"/>
      <x:c r="M41" s="352"/>
      <x:c r="N41" s="352"/>
      <x:c r="O41" s="352"/>
      <x:c r="P41" s="352"/>
      <x:c r="Q41" s="352"/>
      <x:c r="R41" s="352"/>
      <x:c r="S41" s="352"/>
    </x:row>
    <x:row r="42">
      <x:c r="A42" s="352"/>
      <x:c r="B42" s="352"/>
      <x:c r="C42" s="352"/>
      <x:c r="D42" s="352"/>
      <x:c r="E42" s="352"/>
      <x:c r="F42" s="352"/>
      <x:c r="G42" s="352"/>
      <x:c r="H42" s="352"/>
      <x:c r="I42" s="352"/>
      <x:c r="J42" s="352"/>
      <x:c r="K42" s="352"/>
      <x:c r="L42" s="352"/>
      <x:c r="M42" s="352"/>
      <x:c r="N42" s="352"/>
      <x:c r="O42" s="352"/>
      <x:c r="P42" s="352"/>
      <x:c r="Q42" s="352"/>
      <x:c r="R42" s="352"/>
      <x:c r="S42" s="352"/>
    </x:row>
    <x:row r="43">
      <x:c r="A43" s="352"/>
      <x:c r="B43" s="352"/>
      <x:c r="C43" s="352"/>
      <x:c r="D43" s="352"/>
      <x:c r="E43" s="352"/>
      <x:c r="F43" s="352"/>
      <x:c r="G43" s="352"/>
      <x:c r="H43" s="352"/>
      <x:c r="I43" s="352"/>
      <x:c r="J43" s="352"/>
      <x:c r="K43" s="352"/>
      <x:c r="L43" s="352"/>
      <x:c r="M43" s="352"/>
      <x:c r="N43" s="352"/>
      <x:c r="O43" s="352"/>
      <x:c r="P43" s="352"/>
      <x:c r="Q43" s="352"/>
      <x:c r="R43" s="352"/>
      <x:c r="S43" s="352"/>
    </x:row>
    <x:row r="44">
      <x:c r="A44" s="352"/>
      <x:c r="B44" s="352"/>
      <x:c r="C44" s="352"/>
      <x:c r="D44" s="352"/>
      <x:c r="E44" s="352"/>
      <x:c r="F44" s="352"/>
      <x:c r="G44" s="352"/>
      <x:c r="H44" s="352"/>
      <x:c r="I44" s="352"/>
      <x:c r="J44" s="352"/>
      <x:c r="K44" s="352"/>
      <x:c r="L44" s="352"/>
      <x:c r="M44" s="352"/>
      <x:c r="N44" s="352"/>
      <x:c r="O44" s="352"/>
      <x:c r="P44" s="352"/>
      <x:c r="Q44" s="352"/>
      <x:c r="R44" s="352"/>
      <x:c r="S44" s="352"/>
    </x:row>
    <x:row r="45">
      <x:c r="A45" s="352"/>
      <x:c r="B45" s="352"/>
      <x:c r="C45" s="352"/>
      <x:c r="D45" s="352"/>
      <x:c r="E45" s="352"/>
      <x:c r="F45" s="352"/>
      <x:c r="G45" s="352"/>
      <x:c r="H45" s="352"/>
      <x:c r="I45" s="352"/>
      <x:c r="J45" s="352"/>
      <x:c r="K45" s="352"/>
      <x:c r="L45" s="352"/>
      <x:c r="M45" s="352"/>
      <x:c r="N45" s="352"/>
      <x:c r="O45" s="352"/>
      <x:c r="P45" s="352"/>
      <x:c r="Q45" s="352"/>
      <x:c r="R45" s="352"/>
      <x:c r="S45" s="352"/>
    </x:row>
    <x:row r="46">
      <x:c r="A46" s="352"/>
      <x:c r="B46" s="352"/>
      <x:c r="C46" s="352"/>
      <x:c r="D46" s="352"/>
      <x:c r="E46" s="352"/>
      <x:c r="F46" s="352"/>
      <x:c r="G46" s="352"/>
      <x:c r="H46" s="352"/>
      <x:c r="I46" s="352"/>
      <x:c r="J46" s="352"/>
      <x:c r="K46" s="352"/>
      <x:c r="L46" s="352"/>
      <x:c r="M46" s="352"/>
      <x:c r="N46" s="352"/>
      <x:c r="O46" s="352"/>
      <x:c r="P46" s="352"/>
      <x:c r="Q46" s="352"/>
      <x:c r="R46" s="352"/>
      <x:c r="S46" s="352"/>
    </x:row>
    <x:row r="47">
      <x:c r="A47" s="352"/>
      <x:c r="B47" s="352"/>
      <x:c r="C47" s="352"/>
      <x:c r="D47" s="352"/>
      <x:c r="E47" s="352"/>
      <x:c r="F47" s="352"/>
      <x:c r="G47" s="352"/>
      <x:c r="H47" s="352"/>
      <x:c r="I47" s="352"/>
      <x:c r="J47" s="352"/>
      <x:c r="K47" s="352"/>
      <x:c r="L47" s="352"/>
      <x:c r="M47" s="352"/>
      <x:c r="N47" s="352"/>
      <x:c r="O47" s="352"/>
      <x:c r="P47" s="352"/>
      <x:c r="Q47" s="352"/>
      <x:c r="R47" s="352"/>
      <x:c r="S47" s="352"/>
    </x:row>
    <x:row r="48">
      <x:c r="A48" s="352"/>
      <x:c r="B48" s="352"/>
      <x:c r="C48" s="352"/>
      <x:c r="D48" s="352"/>
      <x:c r="E48" s="352"/>
      <x:c r="F48" s="352"/>
      <x:c r="G48" s="352"/>
      <x:c r="H48" s="352"/>
      <x:c r="I48" s="352"/>
      <x:c r="J48" s="352"/>
      <x:c r="K48" s="352"/>
      <x:c r="L48" s="352"/>
      <x:c r="M48" s="352"/>
      <x:c r="N48" s="352"/>
      <x:c r="O48" s="352"/>
      <x:c r="P48" s="352"/>
      <x:c r="Q48" s="352"/>
      <x:c r="R48" s="352"/>
      <x:c r="S48" s="352"/>
    </x:row>
    <x:row r="49">
      <x:c r="A49" s="352"/>
      <x:c r="B49" s="352"/>
      <x:c r="C49" s="352"/>
      <x:c r="D49" s="352"/>
      <x:c r="E49" s="352"/>
      <x:c r="F49" s="352"/>
      <x:c r="G49" s="352"/>
      <x:c r="H49" s="352"/>
      <x:c r="I49" s="352"/>
      <x:c r="J49" s="352"/>
      <x:c r="K49" s="352"/>
      <x:c r="L49" s="352"/>
      <x:c r="M49" s="352"/>
      <x:c r="N49" s="352"/>
      <x:c r="O49" s="352"/>
      <x:c r="P49" s="352"/>
      <x:c r="Q49" s="352"/>
      <x:c r="R49" s="352"/>
      <x:c r="S49" s="352"/>
    </x:row>
    <x:row r="50">
      <x:c r="A50" s="352"/>
      <x:c r="B50" s="352"/>
      <x:c r="C50" s="352"/>
      <x:c r="D50" s="352"/>
      <x:c r="E50" s="352"/>
      <x:c r="F50" s="352"/>
      <x:c r="G50" s="352"/>
      <x:c r="H50" s="352"/>
      <x:c r="I50" s="352"/>
      <x:c r="J50" s="352"/>
      <x:c r="K50" s="352"/>
      <x:c r="L50" s="352"/>
      <x:c r="M50" s="352"/>
      <x:c r="N50" s="352"/>
      <x:c r="O50" s="352"/>
      <x:c r="P50" s="352"/>
      <x:c r="Q50" s="352"/>
      <x:c r="R50" s="352"/>
      <x:c r="S50" s="352"/>
    </x:row>
    <x:row r="51">
      <x:c r="A51" s="352"/>
      <x:c r="B51" s="352"/>
      <x:c r="C51" s="352"/>
      <x:c r="D51" s="352"/>
      <x:c r="E51" s="352"/>
      <x:c r="F51" s="352"/>
      <x:c r="G51" s="352"/>
      <x:c r="H51" s="352"/>
      <x:c r="I51" s="352"/>
      <x:c r="J51" s="352"/>
      <x:c r="K51" s="352"/>
      <x:c r="L51" s="352"/>
      <x:c r="M51" s="352"/>
      <x:c r="N51" s="352"/>
      <x:c r="O51" s="352"/>
      <x:c r="P51" s="352"/>
      <x:c r="Q51" s="352"/>
      <x:c r="R51" s="352"/>
      <x:c r="S51" s="352"/>
    </x:row>
    <x:row r="52">
      <x:c r="A52" s="352"/>
      <x:c r="B52" s="352"/>
      <x:c r="C52" s="352"/>
      <x:c r="D52" s="352"/>
      <x:c r="E52" s="352"/>
      <x:c r="F52" s="352"/>
      <x:c r="G52" s="352"/>
      <x:c r="H52" s="352"/>
      <x:c r="I52" s="352"/>
      <x:c r="J52" s="352"/>
      <x:c r="K52" s="352"/>
      <x:c r="L52" s="352"/>
      <x:c r="M52" s="352"/>
      <x:c r="N52" s="352"/>
      <x:c r="O52" s="352"/>
      <x:c r="P52" s="352"/>
      <x:c r="Q52" s="352"/>
      <x:c r="R52" s="352"/>
      <x:c r="S52" s="352"/>
    </x:row>
    <x:row r="53">
      <x:c r="A53" s="352"/>
      <x:c r="B53" s="352"/>
      <x:c r="C53" s="352"/>
      <x:c r="D53" s="352"/>
      <x:c r="E53" s="352"/>
      <x:c r="F53" s="352"/>
      <x:c r="G53" s="352"/>
      <x:c r="H53" s="352"/>
      <x:c r="I53" s="352"/>
      <x:c r="J53" s="352"/>
      <x:c r="K53" s="352"/>
      <x:c r="L53" s="352"/>
      <x:c r="M53" s="352"/>
      <x:c r="N53" s="352"/>
      <x:c r="O53" s="352"/>
      <x:c r="P53" s="352"/>
      <x:c r="Q53" s="352"/>
      <x:c r="R53" s="352"/>
      <x:c r="S53" s="352"/>
    </x:row>
    <x:row r="54">
      <x:c r="A54" s="352"/>
      <x:c r="B54" s="352"/>
      <x:c r="C54" s="352"/>
      <x:c r="D54" s="352"/>
      <x:c r="E54" s="352"/>
      <x:c r="F54" s="352"/>
      <x:c r="G54" s="352"/>
      <x:c r="H54" s="352"/>
      <x:c r="I54" s="352"/>
      <x:c r="J54" s="352"/>
      <x:c r="K54" s="352"/>
      <x:c r="L54" s="352"/>
      <x:c r="M54" s="352"/>
      <x:c r="N54" s="352"/>
      <x:c r="O54" s="352"/>
      <x:c r="P54" s="352"/>
      <x:c r="Q54" s="352"/>
      <x:c r="R54" s="352"/>
      <x:c r="S54" s="352"/>
    </x:row>
    <x:row r="55">
      <x:c r="A55" s="352"/>
      <x:c r="B55" s="352"/>
      <x:c r="C55" s="352"/>
      <x:c r="D55" s="352"/>
      <x:c r="E55" s="352"/>
      <x:c r="F55" s="352"/>
      <x:c r="G55" s="352"/>
      <x:c r="H55" s="352"/>
      <x:c r="I55" s="352"/>
      <x:c r="J55" s="352"/>
      <x:c r="K55" s="352"/>
      <x:c r="L55" s="352"/>
      <x:c r="M55" s="352"/>
      <x:c r="N55" s="352"/>
      <x:c r="O55" s="352"/>
      <x:c r="P55" s="352"/>
      <x:c r="Q55" s="352"/>
      <x:c r="R55" s="352"/>
      <x:c r="S55" s="352"/>
    </x:row>
    <x:row r="56">
      <x:c r="A56" s="352"/>
      <x:c r="B56" s="352"/>
      <x:c r="C56" s="352"/>
      <x:c r="D56" s="352"/>
      <x:c r="E56" s="352"/>
      <x:c r="F56" s="352"/>
      <x:c r="G56" s="352"/>
      <x:c r="H56" s="352"/>
      <x:c r="I56" s="352"/>
      <x:c r="J56" s="352"/>
      <x:c r="K56" s="352"/>
      <x:c r="L56" s="352"/>
      <x:c r="M56" s="352"/>
      <x:c r="N56" s="352"/>
      <x:c r="O56" s="352"/>
      <x:c r="P56" s="352"/>
      <x:c r="Q56" s="352"/>
      <x:c r="R56" s="352"/>
      <x:c r="S56" s="352"/>
    </x:row>
    <x:row r="57">
      <x:c r="A57" s="352"/>
      <x:c r="B57" s="352"/>
      <x:c r="C57" s="352"/>
      <x:c r="D57" s="352"/>
      <x:c r="E57" s="352"/>
      <x:c r="F57" s="352"/>
      <x:c r="G57" s="352"/>
      <x:c r="H57" s="352"/>
      <x:c r="I57" s="352"/>
      <x:c r="J57" s="352"/>
      <x:c r="K57" s="352"/>
      <x:c r="L57" s="352"/>
      <x:c r="M57" s="352"/>
      <x:c r="N57" s="352"/>
      <x:c r="O57" s="352"/>
      <x:c r="P57" s="352"/>
      <x:c r="Q57" s="352"/>
      <x:c r="R57" s="352"/>
      <x:c r="S57" s="352"/>
    </x:row>
    <x:row r="58">
      <x:c r="A58" s="352"/>
      <x:c r="B58" s="352"/>
      <x:c r="C58" s="352"/>
      <x:c r="D58" s="352"/>
      <x:c r="E58" s="352"/>
      <x:c r="F58" s="352"/>
      <x:c r="G58" s="352"/>
      <x:c r="H58" s="352"/>
      <x:c r="I58" s="352"/>
      <x:c r="J58" s="352"/>
      <x:c r="K58" s="352"/>
      <x:c r="L58" s="352"/>
      <x:c r="M58" s="352"/>
      <x:c r="N58" s="352"/>
      <x:c r="O58" s="352"/>
      <x:c r="P58" s="352"/>
      <x:c r="Q58" s="352"/>
      <x:c r="R58" s="352"/>
      <x:c r="S58" s="352"/>
    </x:row>
    <x:row r="59">
      <x:c r="A59" s="352"/>
      <x:c r="B59" s="352"/>
      <x:c r="C59" s="352"/>
      <x:c r="D59" s="352"/>
      <x:c r="E59" s="352"/>
      <x:c r="F59" s="352"/>
      <x:c r="G59" s="352"/>
      <x:c r="H59" s="352"/>
      <x:c r="I59" s="352"/>
      <x:c r="J59" s="352"/>
      <x:c r="K59" s="352"/>
      <x:c r="L59" s="352"/>
      <x:c r="M59" s="352"/>
      <x:c r="N59" s="352"/>
      <x:c r="O59" s="352"/>
      <x:c r="P59" s="352"/>
      <x:c r="Q59" s="352"/>
      <x:c r="R59" s="352"/>
      <x:c r="S59" s="352"/>
    </x:row>
    <x:row r="60">
      <x:c r="A60" s="352"/>
      <x:c r="B60" s="352"/>
      <x:c r="C60" s="352"/>
      <x:c r="D60" s="352"/>
      <x:c r="E60" s="352"/>
      <x:c r="F60" s="352"/>
      <x:c r="G60" s="352"/>
      <x:c r="H60" s="352"/>
      <x:c r="I60" s="352"/>
      <x:c r="J60" s="352"/>
      <x:c r="K60" s="352"/>
      <x:c r="L60" s="352"/>
      <x:c r="M60" s="352"/>
      <x:c r="N60" s="352"/>
      <x:c r="O60" s="352"/>
      <x:c r="P60" s="352"/>
      <x:c r="Q60" s="352"/>
      <x:c r="R60" s="352"/>
      <x:c r="S60" s="352"/>
    </x:row>
  </x:sheetData>
  <x:mergeCells>
    <x:mergeCell ref="A1:M2"/>
    <x:mergeCell ref="A17:F17"/>
  </x:mergeCells>
  <x:pageMargins left="0.7" right="0.7" top="0.75" bottom="0.75" header="0.3" footer="0.3"/>
  <x:tableParts count="1">
    <x:tablePart xmlns:r="http://schemas.openxmlformats.org/officeDocument/2006/relationships" r:id="R3f57988945bd46e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7" max="17" width="34" hidden="0" customWidth="1"/>
    <x:col min="18" max="18" width="15" hidden="0" customWidth="1"/>
    <x:col min="19" max="19" width="15" hidden="0" customWidth="1"/>
  </x:cols>
  <x:sheetData>
    <x:row r="1" ht="34" customHeight="1">
      <x:c r="A1" s="5" t="str">
        <x:v>DASHBOARD EJECUTIVO · PLANIFICACIÓN DEL APU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  <x:c r="N1" s="352"/>
      <x:c r="O1" s="352"/>
      <x:c r="P1" s="352"/>
      <x:c r="Q1" s="352"/>
      <x:c r="R1" s="352"/>
      <x:c r="S1" s="352"/>
    </x:row>
    <x:row r="2">
      <x:c r="A2" s="352"/>
      <x:c r="B2" s="352"/>
      <x:c r="C2" s="352"/>
      <x:c r="D2" s="352"/>
      <x:c r="E2" s="352"/>
      <x:c r="F2" s="352"/>
      <x:c r="G2" s="352"/>
      <x:c r="H2" s="352"/>
      <x:c r="I2" s="352"/>
      <x:c r="J2" s="352"/>
      <x:c r="K2" s="352"/>
      <x:c r="L2" s="352"/>
      <x:c r="M2" s="352"/>
      <x:c r="N2" s="352"/>
      <x:c r="O2" s="352"/>
      <x:c r="P2" s="352"/>
      <x:c r="Q2" s="522" t="str">
        <x:v>Escenario</x:v>
      </x:c>
      <x:c r="R2" s="522" t="str">
        <x:v>Producción</x:v>
      </x:c>
      <x:c r="S2" s="522" t="str">
        <x:v>Duración h</x:v>
      </x:c>
    </x:row>
    <x:row r="3">
      <x:c r="A3" s="352"/>
      <x:c r="B3" s="352"/>
      <x:c r="C3" s="352"/>
      <x:c r="D3" s="352"/>
      <x:c r="E3" s="352"/>
      <x:c r="F3" s="352"/>
      <x:c r="G3" s="352"/>
      <x:c r="H3" s="352"/>
      <x:c r="I3" s="352"/>
      <x:c r="J3" s="352"/>
      <x:c r="K3" s="352"/>
      <x:c r="L3" s="352"/>
      <x:c r="M3" s="352"/>
      <x:c r="N3" s="352"/>
      <x:c r="O3" s="352"/>
      <x:c r="P3" s="352"/>
      <x:c r="Q3" s="522" t="str">
        <x:f>'04_Escenarios'!A8</x:f>
        <x:v>Teórico</x:v>
      </x:c>
      <x:c r="R3" s="522" t="n">
        <x:f>'04_Escenarios'!C8</x:f>
        <x:v>50</x:v>
      </x:c>
      <x:c r="S3" s="522" t="n">
        <x:f>'04_Escenarios'!E8</x:f>
        <x:v>2.3124000000000002</x:v>
      </x:c>
    </x:row>
    <x:row r="4">
      <x:c r="A4" s="269" t="str">
        <x:v>Actividad: Replanteo y nivelación  |  Alcance: planificación previa a la ejecución  |  Unidad: m²</x:v>
      </x:c>
      <x:c r="B4" s="352"/>
      <x:c r="C4" s="352"/>
      <x:c r="D4" s="352"/>
      <x:c r="E4" s="352"/>
      <x:c r="F4" s="352"/>
      <x:c r="G4" s="352"/>
      <x:c r="H4" s="352"/>
      <x:c r="I4" s="352"/>
      <x:c r="J4" s="352"/>
      <x:c r="K4" s="352"/>
      <x:c r="L4" s="352"/>
      <x:c r="M4" s="352"/>
      <x:c r="N4" s="352"/>
      <x:c r="O4" s="352"/>
      <x:c r="P4" s="352"/>
      <x:c r="Q4" s="522" t="str">
        <x:f>'04_Escenarios'!A9</x:f>
        <x:v>Favorable</x:v>
      </x:c>
      <x:c r="R4" s="522" t="n">
        <x:f>'04_Escenarios'!C9</x:f>
        <x:v>47.5</x:v>
      </x:c>
      <x:c r="S4" s="522" t="n">
        <x:f>'04_Escenarios'!E9</x:f>
        <x:v>2.4341052631578948</x:v>
      </x:c>
    </x:row>
    <x:row r="5">
      <x:c r="A5" s="352"/>
      <x:c r="B5" s="352"/>
      <x:c r="C5" s="352"/>
      <x:c r="D5" s="352"/>
      <x:c r="E5" s="352"/>
      <x:c r="F5" s="352"/>
      <x:c r="G5" s="352"/>
      <x:c r="H5" s="352"/>
      <x:c r="I5" s="352"/>
      <x:c r="J5" s="352"/>
      <x:c r="K5" s="352"/>
      <x:c r="L5" s="352"/>
      <x:c r="M5" s="352"/>
      <x:c r="N5" s="352"/>
      <x:c r="O5" s="352"/>
      <x:c r="P5" s="352"/>
      <x:c r="Q5" s="522" t="str">
        <x:f>'04_Escenarios'!A10</x:f>
        <x:v>Moderado</x:v>
      </x:c>
      <x:c r="R5" s="522" t="n">
        <x:f>'04_Escenarios'!C10</x:f>
        <x:v>45</x:v>
      </x:c>
      <x:c r="S5" s="522" t="n">
        <x:f>'04_Escenarios'!E10</x:f>
        <x:v>2.5693333333333332</x:v>
      </x:c>
    </x:row>
    <x:row r="6">
      <x:c r="A6" s="352"/>
      <x:c r="B6" s="352"/>
      <x:c r="C6" s="352"/>
      <x:c r="D6" s="352"/>
      <x:c r="E6" s="352"/>
      <x:c r="F6" s="352"/>
      <x:c r="G6" s="352"/>
      <x:c r="H6" s="352"/>
      <x:c r="I6" s="352"/>
      <x:c r="J6" s="352"/>
      <x:c r="K6" s="352"/>
      <x:c r="L6" s="352"/>
      <x:c r="M6" s="352"/>
      <x:c r="N6" s="352"/>
      <x:c r="O6" s="352"/>
      <x:c r="P6" s="352"/>
      <x:c r="Q6" s="522" t="str">
        <x:f>'04_Escenarios'!A11</x:f>
        <x:v>Base</x:v>
      </x:c>
      <x:c r="R6" s="522" t="n">
        <x:f>'04_Escenarios'!C11</x:f>
        <x:v>42.5</x:v>
      </x:c>
      <x:c r="S6" s="522" t="n">
        <x:f>'04_Escenarios'!E11</x:f>
        <x:v>2.7204705882352944</x:v>
      </x:c>
    </x:row>
    <x:row r="7">
      <x:c r="A7" s="273" t="str">
        <x:v>CANTIDAD</x:v>
      </x:c>
      <x:c r="B7" s="352"/>
      <x:c r="C7" s="352"/>
      <x:c r="D7" s="273" t="str">
        <x:v>FACTOR PLAN</x:v>
      </x:c>
      <x:c r="E7" s="352"/>
      <x:c r="F7" s="352"/>
      <x:c r="G7" s="273" t="str">
        <x:v>PRODUCCIÓN PLAN</x:v>
      </x:c>
      <x:c r="H7" s="352"/>
      <x:c r="I7" s="352"/>
      <x:c r="J7" s="273" t="str">
        <x:v>DURACIÓN PLAN</x:v>
      </x:c>
      <x:c r="K7" s="352"/>
      <x:c r="L7" s="352"/>
      <x:c r="M7" s="273" t="str">
        <x:v>PRECIO UNITARIO PLAN</x:v>
      </x:c>
      <x:c r="N7" s="352"/>
      <x:c r="O7" s="352"/>
      <x:c r="P7" s="352"/>
      <x:c r="Q7" s="522" t="str">
        <x:f>'04_Escenarios'!A12</x:f>
        <x:v>Conservador</x:v>
      </x:c>
      <x:c r="R7" s="522" t="n">
        <x:f>'04_Escenarios'!C12</x:f>
        <x:v>40</x:v>
      </x:c>
      <x:c r="S7" s="522" t="n">
        <x:f>'04_Escenarios'!E12</x:f>
        <x:v>2.8905000000000003</x:v>
      </x:c>
    </x:row>
    <x:row r="8">
      <x:c r="A8" s="352"/>
      <x:c r="B8" s="352"/>
      <x:c r="C8" s="352"/>
      <x:c r="D8" s="352"/>
      <x:c r="E8" s="352"/>
      <x:c r="F8" s="352"/>
      <x:c r="G8" s="352"/>
      <x:c r="H8" s="352"/>
      <x:c r="I8" s="352"/>
      <x:c r="J8" s="352"/>
      <x:c r="K8" s="352"/>
      <x:c r="L8" s="352"/>
      <x:c r="M8" s="352"/>
      <x:c r="N8" s="352"/>
      <x:c r="O8" s="352"/>
      <x:c r="P8" s="352"/>
      <x:c r="Q8" s="522" t="str">
        <x:f>'04_Escenarios'!A13</x:f>
        <x:v>Restrictivo</x:v>
      </x:c>
      <x:c r="R8" s="522" t="n">
        <x:f>'04_Escenarios'!C13</x:f>
        <x:v>37.5</x:v>
      </x:c>
      <x:c r="S8" s="522" t="n">
        <x:f>'04_Escenarios'!E13</x:f>
        <x:v>3.0832</x:v>
      </x:c>
    </x:row>
    <x:row r="9">
      <x:c r="A9" s="279" t="n">
        <x:f>'03_Calculos_Plan'!B6</x:f>
        <x:v>115.62</x:v>
      </x:c>
      <x:c r="B9" s="352"/>
      <x:c r="C9" s="352"/>
      <x:c r="D9" s="286" t="n">
        <x:f>'03_Calculos_Plan'!B9</x:f>
        <x:v>0.85</x:v>
      </x:c>
      <x:c r="E9" s="352"/>
      <x:c r="F9" s="352"/>
      <x:c r="G9" s="292" t="n">
        <x:f>'03_Calculos_Plan'!B10</x:f>
        <x:v>42.5</x:v>
      </x:c>
      <x:c r="H9" s="352"/>
      <x:c r="I9" s="352"/>
      <x:c r="J9" s="298" t="n">
        <x:f>'03_Calculos_Plan'!B13</x:f>
        <x:v>2.7204705882352944</x:v>
      </x:c>
      <x:c r="K9" s="352"/>
      <x:c r="L9" s="352"/>
      <x:c r="M9" s="304" t="n">
        <x:f>'03_Calculos_Plan'!H33</x:f>
        <x:v>1.1156176470588237</x:v>
      </x:c>
      <x:c r="N9" s="352"/>
      <x:c r="O9" s="352"/>
      <x:c r="P9" s="352"/>
      <x:c r="Q9" s="522" t="str">
        <x:f>'04_Escenarios'!A14</x:f>
        <x:v>Crítico</x:v>
      </x:c>
      <x:c r="R9" s="522" t="n">
        <x:f>'04_Escenarios'!C14</x:f>
        <x:v>35</x:v>
      </x:c>
      <x:c r="S9" s="522" t="n">
        <x:f>'04_Escenarios'!E14</x:f>
        <x:v>3.3034285714285714</x:v>
      </x:c>
    </x:row>
    <x:row r="10">
      <x:c r="A10" s="352"/>
      <x:c r="B10" s="352"/>
      <x:c r="C10" s="352"/>
      <x:c r="D10" s="352"/>
      <x:c r="E10" s="352"/>
      <x:c r="F10" s="352"/>
      <x:c r="G10" s="352"/>
      <x:c r="H10" s="352"/>
      <x:c r="I10" s="352"/>
      <x:c r="J10" s="352"/>
      <x:c r="K10" s="352"/>
      <x:c r="L10" s="352"/>
      <x:c r="M10" s="352"/>
      <x:c r="N10" s="352"/>
      <x:c r="O10" s="352"/>
      <x:c r="P10" s="352"/>
      <x:c r="Q10" s="522"/>
      <x:c r="R10" s="522"/>
      <x:c r="S10" s="522"/>
    </x:row>
    <x:row r="11">
      <x:c r="A11" s="352"/>
      <x:c r="B11" s="352"/>
      <x:c r="C11" s="352"/>
      <x:c r="D11" s="352"/>
      <x:c r="E11" s="352"/>
      <x:c r="F11" s="352"/>
      <x:c r="G11" s="352"/>
      <x:c r="H11" s="352"/>
      <x:c r="I11" s="352"/>
      <x:c r="J11" s="352"/>
      <x:c r="K11" s="352"/>
      <x:c r="L11" s="352"/>
      <x:c r="M11" s="352"/>
      <x:c r="N11" s="352"/>
      <x:c r="O11" s="352"/>
      <x:c r="P11" s="352"/>
      <x:c r="Q11" s="522"/>
      <x:c r="R11" s="522"/>
      <x:c r="S11" s="522"/>
    </x:row>
    <x:row r="12">
      <x:c r="A12" s="352"/>
      <x:c r="B12" s="352"/>
      <x:c r="C12" s="352"/>
      <x:c r="D12" s="352"/>
      <x:c r="E12" s="352"/>
      <x:c r="F12" s="352"/>
      <x:c r="G12" s="352"/>
      <x:c r="H12" s="352"/>
      <x:c r="I12" s="352"/>
      <x:c r="J12" s="352"/>
      <x:c r="K12" s="352"/>
      <x:c r="L12" s="352"/>
      <x:c r="M12" s="352"/>
      <x:c r="N12" s="352"/>
      <x:c r="O12" s="352"/>
      <x:c r="P12" s="352"/>
      <x:c r="Q12" s="522" t="str">
        <x:v>Categoría</x:v>
      </x:c>
      <x:c r="R12" s="522" t="str">
        <x:v>Costo plan</x:v>
      </x:c>
      <x:c r="S12" s="522" t="str">
        <x:v>Participación</x:v>
      </x:c>
    </x:row>
    <x:row r="13">
      <x:c r="A13" s="310" t="str">
        <x:v>PRODUCCIÓN TEÓRICA</x:v>
      </x:c>
      <x:c r="B13" s="352"/>
      <x:c r="C13" s="352"/>
      <x:c r="D13" s="310" t="str">
        <x:v>TRABAJO MO PLAN</x:v>
      </x:c>
      <x:c r="E13" s="352"/>
      <x:c r="F13" s="352"/>
      <x:c r="G13" s="310" t="str">
        <x:v>PRODUCTIVIDAD MO PLAN</x:v>
      </x:c>
      <x:c r="H13" s="352"/>
      <x:c r="I13" s="352"/>
      <x:c r="J13" s="310" t="str">
        <x:v>EQUIPOS PLAN</x:v>
      </x:c>
      <x:c r="K13" s="352"/>
      <x:c r="L13" s="352"/>
      <x:c r="M13" s="310" t="str">
        <x:v>COSTO TOTAL PLAN</x:v>
      </x:c>
      <x:c r="N13" s="352"/>
      <x:c r="O13" s="352"/>
      <x:c r="P13" s="352"/>
      <x:c r="Q13" s="522" t="str">
        <x:f>'05_Programa_Recursos'!A19</x:f>
        <x:v>Equipo</x:v>
      </x:c>
      <x:c r="R13" s="522" t="n">
        <x:f>'05_Programa_Recursos'!C19</x:f>
        <x:v>24.48423529411765</x:v>
      </x:c>
      <x:c r="S13" s="522" t="n">
        <x:f>'05_Programa_Recursos'!D19</x:f>
        <x:v>0.22633680173524878</x:v>
      </x:c>
    </x:row>
    <x:row r="14">
      <x:c r="A14" s="317" t="n">
        <x:f>'03_Calculos_Plan'!B8</x:f>
        <x:v>50</x:v>
      </x:c>
      <x:c r="B14" s="352"/>
      <x:c r="C14" s="352"/>
      <x:c r="D14" s="324" t="n">
        <x:f>'03_Calculos_Plan'!F9</x:f>
        <x:v>8.977552941176471</x:v>
      </x:c>
      <x:c r="E14" s="352"/>
      <x:c r="F14" s="352"/>
      <x:c r="G14" s="330" t="n">
        <x:f>'03_Calculos_Plan'!F11</x:f>
        <x:v>12.878787878787879</x:v>
      </x:c>
      <x:c r="H14" s="352"/>
      <x:c r="I14" s="352"/>
      <x:c r="J14" s="336" t="n">
        <x:f>SUM('03_Calculos_Plan'!H20:H21)</x:f>
        <x:v>8.161411764705884</x:v>
      </x:c>
      <x:c r="K14" s="352"/>
      <x:c r="L14" s="352"/>
      <x:c r="M14" s="342" t="n">
        <x:f>'03_Calculos_Plan'!I33</x:f>
        <x:v>128.9877123529412</x:v>
      </x:c>
      <x:c r="N14" s="352"/>
      <x:c r="O14" s="352"/>
      <x:c r="P14" s="352"/>
      <x:c r="Q14" s="522" t="str">
        <x:f>'05_Programa_Recursos'!A20</x:f>
        <x:v>Material</x:v>
      </x:c>
      <x:c r="R14" s="522" t="n">
        <x:f>'05_Programa_Recursos'!C20</x:f>
        <x:v>43.877790000000005</x:v>
      </x:c>
      <x:c r="S14" s="522" t="n">
        <x:f>'05_Programa_Recursos'!D20</x:f>
        <x:v>0.40561441010971044</x:v>
      </x:c>
    </x:row>
    <x:row r="15">
      <x:c r="A15" s="352"/>
      <x:c r="B15" s="352"/>
      <x:c r="C15" s="352"/>
      <x:c r="D15" s="352"/>
      <x:c r="E15" s="352"/>
      <x:c r="F15" s="352"/>
      <x:c r="G15" s="352"/>
      <x:c r="H15" s="352"/>
      <x:c r="I15" s="352"/>
      <x:c r="J15" s="352"/>
      <x:c r="K15" s="352"/>
      <x:c r="L15" s="352"/>
      <x:c r="M15" s="352"/>
      <x:c r="N15" s="352"/>
      <x:c r="O15" s="352"/>
      <x:c r="P15" s="352"/>
      <x:c r="Q15" s="522" t="str">
        <x:f>'05_Programa_Recursos'!A21</x:f>
        <x:v>Mano de obra</x:v>
      </x:c>
      <x:c r="R15" s="522" t="n">
        <x:f>'05_Programa_Recursos'!C21</x:f>
        <x:v>39.81408705882354</x:v>
      </x:c>
      <x:c r="S15" s="522" t="n">
        <x:f>'05_Programa_Recursos'!D21</x:f>
        <x:v>0.3680487881550407</x:v>
      </x:c>
    </x:row>
    <x:row r="16">
      <x:c r="A16" s="352"/>
      <x:c r="B16" s="352"/>
      <x:c r="C16" s="352"/>
      <x:c r="D16" s="352"/>
      <x:c r="E16" s="352"/>
      <x:c r="F16" s="352"/>
      <x:c r="G16" s="352"/>
      <x:c r="H16" s="352"/>
      <x:c r="I16" s="352"/>
      <x:c r="J16" s="352"/>
      <x:c r="K16" s="352"/>
      <x:c r="L16" s="352"/>
      <x:c r="M16" s="352"/>
      <x:c r="N16" s="352"/>
      <x:c r="O16" s="352"/>
      <x:c r="P16" s="352"/>
      <x:c r="Q16" s="522"/>
      <x:c r="R16" s="522"/>
      <x:c r="S16" s="522"/>
    </x:row>
    <x:row r="17">
      <x:c r="A17" s="352"/>
      <x:c r="B17" s="352"/>
      <x:c r="C17" s="352"/>
      <x:c r="D17" s="352"/>
      <x:c r="E17" s="352"/>
      <x:c r="F17" s="352"/>
      <x:c r="G17" s="352"/>
      <x:c r="H17" s="352"/>
      <x:c r="I17" s="352"/>
      <x:c r="J17" s="352"/>
      <x:c r="K17" s="352"/>
      <x:c r="L17" s="352"/>
      <x:c r="M17" s="352"/>
      <x:c r="N17" s="352"/>
      <x:c r="O17" s="352"/>
      <x:c r="P17" s="352"/>
      <x:c r="Q17" s="522"/>
      <x:c r="R17" s="522"/>
      <x:c r="S17" s="522"/>
    </x:row>
    <x:row r="18">
      <x:c r="A18" s="352"/>
      <x:c r="B18" s="352"/>
      <x:c r="C18" s="352"/>
      <x:c r="D18" s="352"/>
      <x:c r="E18" s="352"/>
      <x:c r="F18" s="352"/>
      <x:c r="G18" s="352"/>
      <x:c r="H18" s="352"/>
      <x:c r="I18" s="352"/>
      <x:c r="J18" s="352"/>
      <x:c r="K18" s="352"/>
      <x:c r="L18" s="352"/>
      <x:c r="M18" s="352"/>
      <x:c r="N18" s="352"/>
      <x:c r="O18" s="352"/>
      <x:c r="P18" s="352"/>
      <x:c r="Q18" s="522" t="str">
        <x:v>Recurso</x:v>
      </x:c>
      <x:c r="R18" s="522" t="str">
        <x:v>Consumo plan</x:v>
      </x:c>
      <x:c r="S18" s="522"/>
    </x:row>
    <x:row r="19">
      <x:c r="A19" s="352"/>
      <x:c r="B19" s="352"/>
      <x:c r="C19" s="352"/>
      <x:c r="D19" s="352"/>
      <x:c r="E19" s="352"/>
      <x:c r="F19" s="352"/>
      <x:c r="G19" s="352"/>
      <x:c r="H19" s="352"/>
      <x:c r="I19" s="352"/>
      <x:c r="J19" s="352"/>
      <x:c r="K19" s="352"/>
      <x:c r="L19" s="352"/>
      <x:c r="M19" s="352"/>
      <x:c r="N19" s="352"/>
      <x:c r="O19" s="352"/>
      <x:c r="P19" s="352"/>
      <x:c r="Q19" s="522" t="str">
        <x:f>'05_Programa_Recursos'!C7</x:f>
        <x:v>Herramientas varias</x:v>
      </x:c>
      <x:c r="R19" s="522" t="n">
        <x:f>'05_Programa_Recursos'!I7</x:f>
        <x:v>5.440941176470589</x:v>
      </x:c>
      <x:c r="S19" s="522"/>
    </x:row>
    <x:row r="20">
      <x:c r="A20" s="352"/>
      <x:c r="B20" s="352"/>
      <x:c r="C20" s="352"/>
      <x:c r="D20" s="352"/>
      <x:c r="E20" s="352"/>
      <x:c r="F20" s="352"/>
      <x:c r="G20" s="352"/>
      <x:c r="H20" s="352"/>
      <x:c r="I20" s="352"/>
      <x:c r="J20" s="352"/>
      <x:c r="K20" s="352"/>
      <x:c r="L20" s="352"/>
      <x:c r="M20" s="352"/>
      <x:c r="N20" s="352"/>
      <x:c r="O20" s="352"/>
      <x:c r="P20" s="352"/>
      <x:c r="Q20" s="522" t="str">
        <x:f>'05_Programa_Recursos'!C8</x:f>
        <x:v>Equipo de topografía</x:v>
      </x:c>
      <x:c r="R20" s="522" t="n">
        <x:f>'05_Programa_Recursos'!I8</x:f>
        <x:v>2.7204705882352944</x:v>
      </x:c>
      <x:c r="S20" s="522"/>
    </x:row>
    <x:row r="21">
      <x:c r="A21" s="352"/>
      <x:c r="B21" s="352"/>
      <x:c r="C21" s="352"/>
      <x:c r="D21" s="352"/>
      <x:c r="E21" s="352"/>
      <x:c r="F21" s="352"/>
      <x:c r="G21" s="352"/>
      <x:c r="H21" s="352"/>
      <x:c r="I21" s="352"/>
      <x:c r="J21" s="352"/>
      <x:c r="K21" s="352"/>
      <x:c r="L21" s="352"/>
      <x:c r="M21" s="352"/>
      <x:c r="N21" s="352"/>
      <x:c r="O21" s="352"/>
      <x:c r="P21" s="352"/>
      <x:c r="Q21" s="522" t="str">
        <x:f>'05_Programa_Recursos'!C9</x:f>
        <x:v>Clavos</x:v>
      </x:c>
      <x:c r="R21" s="522" t="n">
        <x:f>'05_Programa_Recursos'!I9</x:f>
        <x:v>2.3124000000000002</x:v>
      </x:c>
      <x:c r="S21" s="522"/>
    </x:row>
    <x:row r="22">
      <x:c r="A22" s="352"/>
      <x:c r="B22" s="352"/>
      <x:c r="C22" s="352"/>
      <x:c r="D22" s="352"/>
      <x:c r="E22" s="352"/>
      <x:c r="F22" s="352"/>
      <x:c r="G22" s="352"/>
      <x:c r="H22" s="352"/>
      <x:c r="I22" s="352"/>
      <x:c r="J22" s="352"/>
      <x:c r="K22" s="352"/>
      <x:c r="L22" s="352"/>
      <x:c r="M22" s="352"/>
      <x:c r="N22" s="352"/>
      <x:c r="O22" s="352"/>
      <x:c r="P22" s="352"/>
      <x:c r="Q22" s="522" t="str">
        <x:f>'05_Programa_Recursos'!C10</x:f>
        <x:v>Tiras de eucalipto 2×2×300 cm</x:v>
      </x:c>
      <x:c r="R22" s="522" t="n">
        <x:f>'05_Programa_Recursos'!I10</x:f>
        <x:v>23.124000000000002</x:v>
      </x:c>
      <x:c r="S22" s="522"/>
    </x:row>
    <x:row r="23">
      <x:c r="A23" s="352"/>
      <x:c r="B23" s="352"/>
      <x:c r="C23" s="352"/>
      <x:c r="D23" s="352"/>
      <x:c r="E23" s="352"/>
      <x:c r="F23" s="352"/>
      <x:c r="G23" s="352"/>
      <x:c r="H23" s="352"/>
      <x:c r="I23" s="352"/>
      <x:c r="J23" s="352"/>
      <x:c r="K23" s="352"/>
      <x:c r="L23" s="352"/>
      <x:c r="M23" s="352"/>
      <x:c r="N23" s="352"/>
      <x:c r="O23" s="352"/>
      <x:c r="P23" s="352"/>
      <x:c r="Q23" s="522" t="str">
        <x:f>'05_Programa_Recursos'!C11</x:f>
        <x:v>Pintura esmalte</x:v>
      </x:c>
      <x:c r="R23" s="522" t="n">
        <x:f>'05_Programa_Recursos'!I11</x:f>
        <x:v>1.1562000000000001</x:v>
      </x:c>
      <x:c r="S23" s="522"/>
    </x:row>
    <x:row r="24">
      <x:c r="A24" s="352"/>
      <x:c r="B24" s="352"/>
      <x:c r="C24" s="352"/>
      <x:c r="D24" s="352"/>
      <x:c r="E24" s="352"/>
      <x:c r="F24" s="352"/>
      <x:c r="G24" s="352"/>
      <x:c r="H24" s="352"/>
      <x:c r="I24" s="352"/>
      <x:c r="J24" s="352"/>
      <x:c r="K24" s="352"/>
      <x:c r="L24" s="352"/>
      <x:c r="M24" s="352"/>
      <x:c r="N24" s="352"/>
      <x:c r="O24" s="352"/>
      <x:c r="P24" s="352"/>
      <x:c r="Q24" s="522" t="str">
        <x:f>'05_Programa_Recursos'!C12</x:f>
        <x:v>Peón</x:v>
      </x:c>
      <x:c r="R24" s="522" t="n">
        <x:f>'05_Programa_Recursos'!I12</x:f>
        <x:v>5.440941176470589</x:v>
      </x:c>
      <x:c r="S24" s="522"/>
    </x:row>
    <x:row r="25">
      <x:c r="A25" s="352"/>
      <x:c r="B25" s="352"/>
      <x:c r="C25" s="352"/>
      <x:c r="D25" s="352"/>
      <x:c r="E25" s="352"/>
      <x:c r="F25" s="352"/>
      <x:c r="G25" s="352"/>
      <x:c r="H25" s="352"/>
      <x:c r="I25" s="352"/>
      <x:c r="J25" s="352"/>
      <x:c r="K25" s="352"/>
      <x:c r="L25" s="352"/>
      <x:c r="M25" s="352"/>
      <x:c r="N25" s="352"/>
      <x:c r="O25" s="352"/>
      <x:c r="P25" s="352"/>
      <x:c r="Q25" s="522" t="str">
        <x:f>'05_Programa_Recursos'!C13</x:f>
        <x:v>Topógrafo</x:v>
      </x:c>
      <x:c r="R25" s="522" t="n">
        <x:f>'05_Programa_Recursos'!I13</x:f>
        <x:v>2.7204705882352944</x:v>
      </x:c>
      <x:c r="S25" s="522"/>
    </x:row>
    <x:row r="26">
      <x:c r="A26" s="352"/>
      <x:c r="B26" s="352"/>
      <x:c r="C26" s="352"/>
      <x:c r="D26" s="352"/>
      <x:c r="E26" s="352"/>
      <x:c r="F26" s="352"/>
      <x:c r="G26" s="352"/>
      <x:c r="H26" s="352"/>
      <x:c r="I26" s="352"/>
      <x:c r="J26" s="352"/>
      <x:c r="K26" s="352"/>
      <x:c r="L26" s="352"/>
      <x:c r="M26" s="352"/>
      <x:c r="N26" s="352"/>
      <x:c r="O26" s="352"/>
      <x:c r="P26" s="352"/>
      <x:c r="Q26" s="522" t="str">
        <x:f>'05_Programa_Recursos'!C14</x:f>
        <x:v>Maestro mayor</x:v>
      </x:c>
      <x:c r="R26" s="522" t="n">
        <x:f>'05_Programa_Recursos'!I14</x:f>
        <x:v>0.8161411764705883</x:v>
      </x:c>
      <x:c r="S26" s="522"/>
    </x:row>
    <x:row r="27">
      <x:c r="A27" s="352"/>
      <x:c r="B27" s="352"/>
      <x:c r="C27" s="352"/>
      <x:c r="D27" s="352"/>
      <x:c r="E27" s="352"/>
      <x:c r="F27" s="352"/>
      <x:c r="G27" s="352"/>
      <x:c r="H27" s="352"/>
      <x:c r="I27" s="352"/>
      <x:c r="J27" s="352"/>
      <x:c r="K27" s="352"/>
      <x:c r="L27" s="352"/>
      <x:c r="M27" s="352"/>
      <x:c r="N27" s="352"/>
      <x:c r="O27" s="352"/>
      <x:c r="P27" s="352"/>
      <x:c r="Q27" s="352"/>
      <x:c r="R27" s="352"/>
      <x:c r="S27" s="352"/>
    </x:row>
    <x:row r="28">
      <x:c r="A28" s="352"/>
      <x:c r="B28" s="352"/>
      <x:c r="C28" s="352"/>
      <x:c r="D28" s="352"/>
      <x:c r="E28" s="352"/>
      <x:c r="F28" s="352"/>
      <x:c r="G28" s="352"/>
      <x:c r="H28" s="352"/>
      <x:c r="I28" s="352"/>
      <x:c r="J28" s="352"/>
      <x:c r="K28" s="352"/>
      <x:c r="L28" s="352"/>
      <x:c r="M28" s="352"/>
      <x:c r="N28" s="352"/>
      <x:c r="O28" s="352"/>
      <x:c r="P28" s="352"/>
      <x:c r="Q28" s="352"/>
      <x:c r="R28" s="352"/>
      <x:c r="S28" s="352"/>
    </x:row>
    <x:row r="29">
      <x:c r="A29" s="352"/>
      <x:c r="B29" s="352"/>
      <x:c r="C29" s="352"/>
      <x:c r="D29" s="352"/>
      <x:c r="E29" s="352"/>
      <x:c r="F29" s="352"/>
      <x:c r="G29" s="352"/>
      <x:c r="H29" s="352"/>
      <x:c r="I29" s="352"/>
      <x:c r="J29" s="352"/>
      <x:c r="K29" s="352"/>
      <x:c r="L29" s="352"/>
      <x:c r="M29" s="352"/>
      <x:c r="N29" s="352"/>
      <x:c r="O29" s="352"/>
      <x:c r="P29" s="352"/>
      <x:c r="Q29" s="352"/>
      <x:c r="R29" s="352"/>
      <x:c r="S29" s="352"/>
    </x:row>
    <x:row r="30">
      <x:c r="A30" s="352"/>
      <x:c r="B30" s="352"/>
      <x:c r="C30" s="352"/>
      <x:c r="D30" s="352"/>
      <x:c r="E30" s="352"/>
      <x:c r="F30" s="352"/>
      <x:c r="G30" s="352"/>
      <x:c r="H30" s="352"/>
      <x:c r="I30" s="352"/>
      <x:c r="J30" s="352"/>
      <x:c r="K30" s="352"/>
      <x:c r="L30" s="352"/>
      <x:c r="M30" s="352"/>
      <x:c r="N30" s="352"/>
      <x:c r="O30" s="352"/>
      <x:c r="P30" s="352"/>
      <x:c r="Q30" s="352"/>
      <x:c r="R30" s="352"/>
      <x:c r="S30" s="352"/>
    </x:row>
    <x:row r="31">
      <x:c r="A31" s="352"/>
      <x:c r="B31" s="352"/>
      <x:c r="C31" s="352"/>
      <x:c r="D31" s="352"/>
      <x:c r="E31" s="352"/>
      <x:c r="F31" s="352"/>
      <x:c r="G31" s="352"/>
      <x:c r="H31" s="352"/>
      <x:c r="I31" s="352"/>
      <x:c r="J31" s="352"/>
      <x:c r="K31" s="352"/>
      <x:c r="L31" s="352"/>
      <x:c r="M31" s="352"/>
      <x:c r="N31" s="352"/>
      <x:c r="O31" s="352"/>
      <x:c r="P31" s="352"/>
      <x:c r="Q31" s="352"/>
      <x:c r="R31" s="352"/>
      <x:c r="S31" s="352"/>
    </x:row>
    <x:row r="32">
      <x:c r="A32" s="352"/>
      <x:c r="B32" s="352"/>
      <x:c r="C32" s="352"/>
      <x:c r="D32" s="352"/>
      <x:c r="E32" s="352"/>
      <x:c r="F32" s="352"/>
      <x:c r="G32" s="352"/>
      <x:c r="H32" s="352"/>
      <x:c r="I32" s="352"/>
      <x:c r="J32" s="352"/>
      <x:c r="K32" s="352"/>
      <x:c r="L32" s="352"/>
      <x:c r="M32" s="352"/>
      <x:c r="N32" s="352"/>
      <x:c r="O32" s="352"/>
      <x:c r="P32" s="352"/>
      <x:c r="Q32" s="352"/>
      <x:c r="R32" s="352"/>
      <x:c r="S32" s="352"/>
    </x:row>
    <x:row r="33">
      <x:c r="A33" s="352"/>
      <x:c r="B33" s="352"/>
      <x:c r="C33" s="352"/>
      <x:c r="D33" s="352"/>
      <x:c r="E33" s="352"/>
      <x:c r="F33" s="352"/>
      <x:c r="G33" s="352"/>
      <x:c r="H33" s="352"/>
      <x:c r="I33" s="352"/>
      <x:c r="J33" s="352"/>
      <x:c r="K33" s="352"/>
      <x:c r="L33" s="352"/>
      <x:c r="M33" s="352"/>
      <x:c r="N33" s="352"/>
      <x:c r="O33" s="352"/>
      <x:c r="P33" s="352"/>
      <x:c r="Q33" s="352"/>
      <x:c r="R33" s="352"/>
      <x:c r="S33" s="352"/>
    </x:row>
    <x:row r="34">
      <x:c r="A34" s="352"/>
      <x:c r="B34" s="352"/>
      <x:c r="C34" s="352"/>
      <x:c r="D34" s="352"/>
      <x:c r="E34" s="352"/>
      <x:c r="F34" s="352"/>
      <x:c r="G34" s="352"/>
      <x:c r="H34" s="352"/>
      <x:c r="I34" s="352"/>
      <x:c r="J34" s="352"/>
      <x:c r="K34" s="352"/>
      <x:c r="L34" s="352"/>
      <x:c r="M34" s="352"/>
      <x:c r="N34" s="352"/>
      <x:c r="O34" s="352"/>
      <x:c r="P34" s="352"/>
      <x:c r="Q34" s="352"/>
      <x:c r="R34" s="352"/>
      <x:c r="S34" s="352"/>
    </x:row>
    <x:row r="35">
      <x:c r="A35" s="352"/>
      <x:c r="B35" s="352"/>
      <x:c r="C35" s="352"/>
      <x:c r="D35" s="352"/>
      <x:c r="E35" s="352"/>
      <x:c r="F35" s="352"/>
      <x:c r="G35" s="352"/>
      <x:c r="H35" s="352"/>
      <x:c r="I35" s="352"/>
      <x:c r="J35" s="352"/>
      <x:c r="K35" s="352"/>
      <x:c r="L35" s="352"/>
      <x:c r="M35" s="352"/>
      <x:c r="N35" s="352"/>
      <x:c r="O35" s="352"/>
      <x:c r="P35" s="352"/>
      <x:c r="Q35" s="352"/>
      <x:c r="R35" s="352"/>
      <x:c r="S35" s="352"/>
    </x:row>
    <x:row r="36">
      <x:c r="A36" s="352"/>
      <x:c r="B36" s="352"/>
      <x:c r="C36" s="352"/>
      <x:c r="D36" s="352"/>
      <x:c r="E36" s="352"/>
      <x:c r="F36" s="352"/>
      <x:c r="G36" s="352"/>
      <x:c r="H36" s="352"/>
      <x:c r="I36" s="352"/>
      <x:c r="J36" s="352"/>
      <x:c r="K36" s="352"/>
      <x:c r="L36" s="352"/>
      <x:c r="M36" s="352"/>
      <x:c r="N36" s="352"/>
      <x:c r="O36" s="352"/>
      <x:c r="P36" s="352"/>
      <x:c r="Q36" s="352"/>
      <x:c r="R36" s="352"/>
      <x:c r="S36" s="352"/>
    </x:row>
    <x:row r="37">
      <x:c r="A37" s="352"/>
      <x:c r="B37" s="352"/>
      <x:c r="C37" s="352"/>
      <x:c r="D37" s="352"/>
      <x:c r="E37" s="352"/>
      <x:c r="F37" s="352"/>
      <x:c r="G37" s="352"/>
      <x:c r="H37" s="352"/>
      <x:c r="I37" s="352"/>
      <x:c r="J37" s="352"/>
      <x:c r="K37" s="352"/>
      <x:c r="L37" s="352"/>
      <x:c r="M37" s="352"/>
      <x:c r="N37" s="352"/>
      <x:c r="O37" s="352"/>
      <x:c r="P37" s="352"/>
      <x:c r="Q37" s="352"/>
      <x:c r="R37" s="352"/>
      <x:c r="S37" s="352"/>
    </x:row>
    <x:row r="38">
      <x:c r="A38" s="352"/>
      <x:c r="B38" s="352"/>
      <x:c r="C38" s="352"/>
      <x:c r="D38" s="352"/>
      <x:c r="E38" s="352"/>
      <x:c r="F38" s="352"/>
      <x:c r="G38" s="352"/>
      <x:c r="H38" s="352"/>
      <x:c r="I38" s="352"/>
      <x:c r="J38" s="352"/>
      <x:c r="K38" s="352"/>
      <x:c r="L38" s="352"/>
      <x:c r="M38" s="352"/>
      <x:c r="N38" s="352"/>
      <x:c r="O38" s="352"/>
      <x:c r="P38" s="352"/>
      <x:c r="Q38" s="352"/>
      <x:c r="R38" s="352"/>
      <x:c r="S38" s="352"/>
    </x:row>
    <x:row r="39">
      <x:c r="A39" s="352"/>
      <x:c r="B39" s="352"/>
      <x:c r="C39" s="352"/>
      <x:c r="D39" s="352"/>
      <x:c r="E39" s="352"/>
      <x:c r="F39" s="352"/>
      <x:c r="G39" s="352"/>
      <x:c r="H39" s="352"/>
      <x:c r="I39" s="352"/>
      <x:c r="J39" s="352"/>
      <x:c r="K39" s="352"/>
      <x:c r="L39" s="352"/>
      <x:c r="M39" s="352"/>
      <x:c r="N39" s="352"/>
      <x:c r="O39" s="352"/>
      <x:c r="P39" s="352"/>
      <x:c r="Q39" s="352"/>
      <x:c r="R39" s="352"/>
      <x:c r="S39" s="352"/>
    </x:row>
    <x:row r="40">
      <x:c r="A40" s="352"/>
      <x:c r="B40" s="352"/>
      <x:c r="C40" s="352"/>
      <x:c r="D40" s="352"/>
      <x:c r="E40" s="352"/>
      <x:c r="F40" s="352"/>
      <x:c r="G40" s="352"/>
      <x:c r="H40" s="352"/>
      <x:c r="I40" s="352"/>
      <x:c r="J40" s="352"/>
      <x:c r="K40" s="352"/>
      <x:c r="L40" s="352"/>
      <x:c r="M40" s="352"/>
      <x:c r="N40" s="352"/>
      <x:c r="O40" s="352"/>
      <x:c r="P40" s="352"/>
      <x:c r="Q40" s="352"/>
      <x:c r="R40" s="352"/>
      <x:c r="S40" s="352"/>
    </x:row>
    <x:row r="41">
      <x:c r="A41" s="352"/>
      <x:c r="B41" s="352"/>
      <x:c r="C41" s="352"/>
      <x:c r="D41" s="352"/>
      <x:c r="E41" s="352"/>
      <x:c r="F41" s="352"/>
      <x:c r="G41" s="352"/>
      <x:c r="H41" s="352"/>
      <x:c r="I41" s="352"/>
      <x:c r="J41" s="352"/>
      <x:c r="K41" s="352"/>
      <x:c r="L41" s="352"/>
      <x:c r="M41" s="352"/>
      <x:c r="N41" s="352"/>
      <x:c r="O41" s="352"/>
      <x:c r="P41" s="352"/>
      <x:c r="Q41" s="352"/>
      <x:c r="R41" s="352"/>
      <x:c r="S41" s="352"/>
    </x:row>
    <x:row r="42">
      <x:c r="A42" s="352"/>
      <x:c r="B42" s="352"/>
      <x:c r="C42" s="352"/>
      <x:c r="D42" s="352"/>
      <x:c r="E42" s="352"/>
      <x:c r="F42" s="352"/>
      <x:c r="G42" s="352"/>
      <x:c r="H42" s="352"/>
      <x:c r="I42" s="352"/>
      <x:c r="J42" s="352"/>
      <x:c r="K42" s="352"/>
      <x:c r="L42" s="352"/>
      <x:c r="M42" s="352"/>
      <x:c r="N42" s="352"/>
      <x:c r="O42" s="352"/>
      <x:c r="P42" s="352"/>
      <x:c r="Q42" s="352"/>
      <x:c r="R42" s="352"/>
      <x:c r="S42" s="352"/>
    </x:row>
    <x:row r="43">
      <x:c r="A43" s="352"/>
      <x:c r="B43" s="352"/>
      <x:c r="C43" s="352"/>
      <x:c r="D43" s="352"/>
      <x:c r="E43" s="352"/>
      <x:c r="F43" s="352"/>
      <x:c r="G43" s="352"/>
      <x:c r="H43" s="352"/>
      <x:c r="I43" s="352"/>
      <x:c r="J43" s="352"/>
      <x:c r="K43" s="352"/>
      <x:c r="L43" s="352"/>
      <x:c r="M43" s="352"/>
      <x:c r="N43" s="352"/>
      <x:c r="O43" s="352"/>
      <x:c r="P43" s="352"/>
      <x:c r="Q43" s="352"/>
      <x:c r="R43" s="352"/>
      <x:c r="S43" s="352"/>
    </x:row>
    <x:row r="44">
      <x:c r="A44" s="352"/>
      <x:c r="B44" s="352"/>
      <x:c r="C44" s="352"/>
      <x:c r="D44" s="352"/>
      <x:c r="E44" s="352"/>
      <x:c r="F44" s="352"/>
      <x:c r="G44" s="352"/>
      <x:c r="H44" s="352"/>
      <x:c r="I44" s="352"/>
      <x:c r="J44" s="352"/>
      <x:c r="K44" s="352"/>
      <x:c r="L44" s="352"/>
      <x:c r="M44" s="352"/>
      <x:c r="N44" s="352"/>
      <x:c r="O44" s="352"/>
      <x:c r="P44" s="352"/>
      <x:c r="Q44" s="352"/>
      <x:c r="R44" s="352"/>
      <x:c r="S44" s="352"/>
    </x:row>
    <x:row r="45">
      <x:c r="A45" s="352"/>
      <x:c r="B45" s="352"/>
      <x:c r="C45" s="352"/>
      <x:c r="D45" s="352"/>
      <x:c r="E45" s="352"/>
      <x:c r="F45" s="352"/>
      <x:c r="G45" s="352"/>
      <x:c r="H45" s="352"/>
      <x:c r="I45" s="352"/>
      <x:c r="J45" s="352"/>
      <x:c r="K45" s="352"/>
      <x:c r="L45" s="352"/>
      <x:c r="M45" s="352"/>
      <x:c r="N45" s="352"/>
      <x:c r="O45" s="352"/>
      <x:c r="P45" s="352"/>
      <x:c r="Q45" s="352"/>
      <x:c r="R45" s="352"/>
      <x:c r="S45" s="352"/>
    </x:row>
    <x:row r="46">
      <x:c r="A46" s="352"/>
      <x:c r="B46" s="352"/>
      <x:c r="C46" s="352"/>
      <x:c r="D46" s="352"/>
      <x:c r="E46" s="352"/>
      <x:c r="F46" s="352"/>
      <x:c r="G46" s="352"/>
      <x:c r="H46" s="352"/>
      <x:c r="I46" s="352"/>
      <x:c r="J46" s="352"/>
      <x:c r="K46" s="352"/>
      <x:c r="L46" s="352"/>
      <x:c r="M46" s="352"/>
      <x:c r="N46" s="352"/>
      <x:c r="O46" s="352"/>
      <x:c r="P46" s="352"/>
      <x:c r="Q46" s="352"/>
      <x:c r="R46" s="352"/>
      <x:c r="S46" s="352"/>
    </x:row>
    <x:row r="47">
      <x:c r="A47" s="352"/>
      <x:c r="B47" s="352"/>
      <x:c r="C47" s="352"/>
      <x:c r="D47" s="352"/>
      <x:c r="E47" s="352"/>
      <x:c r="F47" s="352"/>
      <x:c r="G47" s="352"/>
      <x:c r="H47" s="352"/>
      <x:c r="I47" s="352"/>
      <x:c r="J47" s="352"/>
      <x:c r="K47" s="352"/>
      <x:c r="L47" s="352"/>
      <x:c r="M47" s="352"/>
      <x:c r="N47" s="352"/>
      <x:c r="O47" s="352"/>
      <x:c r="P47" s="352"/>
      <x:c r="Q47" s="352"/>
      <x:c r="R47" s="352"/>
      <x:c r="S47" s="352"/>
    </x:row>
    <x:row r="48">
      <x:c r="A48" s="352"/>
      <x:c r="B48" s="352"/>
      <x:c r="C48" s="352"/>
      <x:c r="D48" s="352"/>
      <x:c r="E48" s="352"/>
      <x:c r="F48" s="352"/>
      <x:c r="G48" s="352"/>
      <x:c r="H48" s="352"/>
      <x:c r="I48" s="352"/>
      <x:c r="J48" s="352"/>
      <x:c r="K48" s="352"/>
      <x:c r="L48" s="352"/>
      <x:c r="M48" s="352"/>
      <x:c r="N48" s="352"/>
      <x:c r="O48" s="352"/>
      <x:c r="P48" s="352"/>
      <x:c r="Q48" s="352"/>
      <x:c r="R48" s="352"/>
      <x:c r="S48" s="352"/>
    </x:row>
    <x:row r="49">
      <x:c r="A49" s="352"/>
      <x:c r="B49" s="352"/>
      <x:c r="C49" s="352"/>
      <x:c r="D49" s="352"/>
      <x:c r="E49" s="352"/>
      <x:c r="F49" s="352"/>
      <x:c r="G49" s="352"/>
      <x:c r="H49" s="352"/>
      <x:c r="I49" s="352"/>
      <x:c r="J49" s="352"/>
      <x:c r="K49" s="352"/>
      <x:c r="L49" s="352"/>
      <x:c r="M49" s="352"/>
      <x:c r="N49" s="352"/>
      <x:c r="O49" s="352"/>
      <x:c r="P49" s="352"/>
      <x:c r="Q49" s="352"/>
      <x:c r="R49" s="352"/>
      <x:c r="S49" s="352"/>
    </x:row>
    <x:row r="50">
      <x:c r="A50" s="352"/>
      <x:c r="B50" s="352"/>
      <x:c r="C50" s="352"/>
      <x:c r="D50" s="352"/>
      <x:c r="E50" s="352"/>
      <x:c r="F50" s="352"/>
      <x:c r="G50" s="352"/>
      <x:c r="H50" s="352"/>
      <x:c r="I50" s="352"/>
      <x:c r="J50" s="352"/>
      <x:c r="K50" s="352"/>
      <x:c r="L50" s="352"/>
      <x:c r="M50" s="352"/>
      <x:c r="N50" s="352"/>
      <x:c r="O50" s="352"/>
      <x:c r="P50" s="352"/>
      <x:c r="Q50" s="352"/>
      <x:c r="R50" s="352"/>
      <x:c r="S50" s="352"/>
    </x:row>
    <x:row r="51">
      <x:c r="A51" s="352"/>
      <x:c r="B51" s="352"/>
      <x:c r="C51" s="352"/>
      <x:c r="D51" s="352"/>
      <x:c r="E51" s="352"/>
      <x:c r="F51" s="352"/>
      <x:c r="G51" s="352"/>
      <x:c r="H51" s="352"/>
      <x:c r="I51" s="352"/>
      <x:c r="J51" s="352"/>
      <x:c r="K51" s="352"/>
      <x:c r="L51" s="352"/>
      <x:c r="M51" s="352"/>
      <x:c r="N51" s="352"/>
      <x:c r="O51" s="352"/>
      <x:c r="P51" s="352"/>
      <x:c r="Q51" s="352"/>
      <x:c r="R51" s="352"/>
      <x:c r="S51" s="352"/>
    </x:row>
    <x:row r="52">
      <x:c r="A52" s="352"/>
      <x:c r="B52" s="352"/>
      <x:c r="C52" s="352"/>
      <x:c r="D52" s="352"/>
      <x:c r="E52" s="352"/>
      <x:c r="F52" s="352"/>
      <x:c r="G52" s="352"/>
      <x:c r="H52" s="352"/>
      <x:c r="I52" s="352"/>
      <x:c r="J52" s="352"/>
      <x:c r="K52" s="352"/>
      <x:c r="L52" s="352"/>
      <x:c r="M52" s="352"/>
      <x:c r="N52" s="352"/>
      <x:c r="O52" s="352"/>
      <x:c r="P52" s="352"/>
      <x:c r="Q52" s="352"/>
      <x:c r="R52" s="352"/>
      <x:c r="S52" s="352"/>
    </x:row>
    <x:row r="53">
      <x:c r="A53" s="352"/>
      <x:c r="B53" s="352"/>
      <x:c r="C53" s="352"/>
      <x:c r="D53" s="352"/>
      <x:c r="E53" s="352"/>
      <x:c r="F53" s="352"/>
      <x:c r="G53" s="352"/>
      <x:c r="H53" s="352"/>
      <x:c r="I53" s="352"/>
      <x:c r="J53" s="352"/>
      <x:c r="K53" s="352"/>
      <x:c r="L53" s="352"/>
      <x:c r="M53" s="352"/>
      <x:c r="N53" s="352"/>
      <x:c r="O53" s="352"/>
      <x:c r="P53" s="352"/>
      <x:c r="Q53" s="352"/>
      <x:c r="R53" s="352"/>
      <x:c r="S53" s="352"/>
    </x:row>
    <x:row r="54">
      <x:c r="A54" s="352"/>
      <x:c r="B54" s="352"/>
      <x:c r="C54" s="352"/>
      <x:c r="D54" s="352"/>
      <x:c r="E54" s="352"/>
      <x:c r="F54" s="352"/>
      <x:c r="G54" s="352"/>
      <x:c r="H54" s="352"/>
      <x:c r="I54" s="352"/>
      <x:c r="J54" s="352"/>
      <x:c r="K54" s="352"/>
      <x:c r="L54" s="352"/>
      <x:c r="M54" s="352"/>
      <x:c r="N54" s="352"/>
      <x:c r="O54" s="352"/>
      <x:c r="P54" s="352"/>
      <x:c r="Q54" s="352"/>
      <x:c r="R54" s="352"/>
      <x:c r="S54" s="352"/>
    </x:row>
    <x:row r="55">
      <x:c r="A55" s="352"/>
      <x:c r="B55" s="352"/>
      <x:c r="C55" s="352"/>
      <x:c r="D55" s="352"/>
      <x:c r="E55" s="352"/>
      <x:c r="F55" s="352"/>
      <x:c r="G55" s="352"/>
      <x:c r="H55" s="352"/>
      <x:c r="I55" s="352"/>
      <x:c r="J55" s="352"/>
      <x:c r="K55" s="352"/>
      <x:c r="L55" s="352"/>
      <x:c r="M55" s="352"/>
      <x:c r="N55" s="352"/>
      <x:c r="O55" s="352"/>
      <x:c r="P55" s="352"/>
      <x:c r="Q55" s="352"/>
      <x:c r="R55" s="352"/>
      <x:c r="S55" s="352"/>
    </x:row>
    <x:row r="56">
      <x:c r="A56" s="352"/>
      <x:c r="B56" s="352"/>
      <x:c r="C56" s="352"/>
      <x:c r="D56" s="352"/>
      <x:c r="E56" s="352"/>
      <x:c r="F56" s="352"/>
      <x:c r="G56" s="352"/>
      <x:c r="H56" s="352"/>
      <x:c r="I56" s="352"/>
      <x:c r="J56" s="352"/>
      <x:c r="K56" s="352"/>
      <x:c r="L56" s="352"/>
      <x:c r="M56" s="352"/>
      <x:c r="N56" s="352"/>
      <x:c r="O56" s="352"/>
      <x:c r="P56" s="352"/>
      <x:c r="Q56" s="352"/>
      <x:c r="R56" s="352"/>
      <x:c r="S56" s="352"/>
    </x:row>
    <x:row r="57">
      <x:c r="A57" s="352"/>
      <x:c r="B57" s="352"/>
      <x:c r="C57" s="352"/>
      <x:c r="D57" s="352"/>
      <x:c r="E57" s="352"/>
      <x:c r="F57" s="352"/>
      <x:c r="G57" s="352"/>
      <x:c r="H57" s="352"/>
      <x:c r="I57" s="352"/>
      <x:c r="J57" s="352"/>
      <x:c r="K57" s="352"/>
      <x:c r="L57" s="352"/>
      <x:c r="M57" s="352"/>
      <x:c r="N57" s="352"/>
      <x:c r="O57" s="352"/>
      <x:c r="P57" s="352"/>
      <x:c r="Q57" s="352"/>
      <x:c r="R57" s="352"/>
      <x:c r="S57" s="352"/>
    </x:row>
    <x:row r="58">
      <x:c r="A58" s="352"/>
      <x:c r="B58" s="352"/>
      <x:c r="C58" s="352"/>
      <x:c r="D58" s="352"/>
      <x:c r="E58" s="352"/>
      <x:c r="F58" s="352"/>
      <x:c r="G58" s="352"/>
      <x:c r="H58" s="352"/>
      <x:c r="I58" s="352"/>
      <x:c r="J58" s="352"/>
      <x:c r="K58" s="352"/>
      <x:c r="L58" s="352"/>
      <x:c r="M58" s="352"/>
      <x:c r="N58" s="352"/>
      <x:c r="O58" s="352"/>
      <x:c r="P58" s="352"/>
      <x:c r="Q58" s="352"/>
      <x:c r="R58" s="352"/>
      <x:c r="S58" s="352"/>
    </x:row>
    <x:row r="59">
      <x:c r="A59" s="352"/>
      <x:c r="B59" s="352"/>
      <x:c r="C59" s="352"/>
      <x:c r="D59" s="352"/>
      <x:c r="E59" s="352"/>
      <x:c r="F59" s="352"/>
      <x:c r="G59" s="352"/>
      <x:c r="H59" s="352"/>
      <x:c r="I59" s="352"/>
      <x:c r="J59" s="352"/>
      <x:c r="K59" s="352"/>
      <x:c r="L59" s="352"/>
      <x:c r="M59" s="352"/>
      <x:c r="N59" s="352"/>
      <x:c r="O59" s="352"/>
      <x:c r="P59" s="352"/>
      <x:c r="Q59" s="352"/>
      <x:c r="R59" s="352"/>
      <x:c r="S59" s="352"/>
    </x:row>
    <x:row r="60">
      <x:c r="A60" s="352"/>
      <x:c r="B60" s="352"/>
      <x:c r="C60" s="352"/>
      <x:c r="D60" s="352"/>
      <x:c r="E60" s="352"/>
      <x:c r="F60" s="352"/>
      <x:c r="G60" s="352"/>
      <x:c r="H60" s="352"/>
      <x:c r="I60" s="352"/>
      <x:c r="J60" s="352"/>
      <x:c r="K60" s="352"/>
      <x:c r="L60" s="352"/>
      <x:c r="M60" s="352"/>
      <x:c r="N60" s="352"/>
      <x:c r="O60" s="352"/>
      <x:c r="P60" s="352"/>
      <x:c r="Q60" s="352"/>
      <x:c r="R60" s="352"/>
      <x:c r="S60" s="352"/>
    </x:row>
  </x:sheetData>
  <x:mergeCells>
    <x:mergeCell ref="A1:O2"/>
    <x:mergeCell ref="A4:O5"/>
    <x:mergeCell ref="A7:C8"/>
    <x:mergeCell ref="A9:C11"/>
    <x:mergeCell ref="D7:F8"/>
    <x:mergeCell ref="D9:F11"/>
    <x:mergeCell ref="G7:I8"/>
    <x:mergeCell ref="G9:I11"/>
    <x:mergeCell ref="J7:L8"/>
    <x:mergeCell ref="J9:L11"/>
    <x:mergeCell ref="M7:O8"/>
    <x:mergeCell ref="M9:O11"/>
    <x:mergeCell ref="A13:C13"/>
    <x:mergeCell ref="A14:C16"/>
    <x:mergeCell ref="D13:F13"/>
    <x:mergeCell ref="D14:F16"/>
    <x:mergeCell ref="G13:I13"/>
    <x:mergeCell ref="G14:I16"/>
    <x:mergeCell ref="J13:L13"/>
    <x:mergeCell ref="J14:L16"/>
    <x:mergeCell ref="M13:O13"/>
    <x:mergeCell ref="M14:O16"/>
  </x:mergeCells>
  <x:pageMargins left="0.7" right="0.7" top="0.75" bottom="0.75" header="0.3" footer="0.3"/>
  <x:drawing xmlns:r="http://schemas.openxmlformats.org/officeDocument/2006/relationships" r:id="R82f4f7a5c125409d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7" hidden="0" customWidth="1"/>
    <x:col min="3" max="3" width="37" hidden="0" customWidth="1"/>
    <x:col min="4" max="4" width="14" hidden="0" customWidth="1"/>
    <x:col min="5" max="5" width="31" hidden="0" customWidth="1"/>
    <x:col min="6" max="6" width="31" hidden="0" customWidth="1"/>
    <x:col min="7" max="7" width="21" hidden="0" customWidth="1"/>
  </x:cols>
  <x:sheetData>
    <x:row r="1" ht="34" customHeight="1">
      <x:c r="A1" s="5" t="str">
        <x:v>07 · DICCIONARIO DE VARIABLES E INDICADORES DE PLANIFICACIÓN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  <x:c r="N1" s="352"/>
      <x:c r="O1" s="352"/>
      <x:c r="P1" s="352"/>
      <x:c r="Q1" s="352"/>
      <x:c r="R1" s="352"/>
      <x:c r="S1" s="352"/>
    </x:row>
    <x:row r="2">
      <x:c r="A2" s="352"/>
      <x:c r="B2" s="352"/>
      <x:c r="C2" s="352"/>
      <x:c r="D2" s="352"/>
      <x:c r="E2" s="352"/>
      <x:c r="F2" s="352"/>
      <x:c r="G2" s="352"/>
      <x:c r="H2" s="352"/>
      <x:c r="I2" s="352"/>
      <x:c r="J2" s="352"/>
      <x:c r="K2" s="352"/>
      <x:c r="L2" s="352"/>
      <x:c r="M2" s="352"/>
      <x:c r="N2" s="352"/>
      <x:c r="O2" s="352"/>
      <x:c r="P2" s="352"/>
      <x:c r="Q2" s="352"/>
      <x:c r="R2" s="352"/>
      <x:c r="S2" s="352"/>
    </x:row>
    <x:row r="3">
      <x:c r="A3" s="352"/>
      <x:c r="B3" s="352"/>
      <x:c r="C3" s="352"/>
      <x:c r="D3" s="352"/>
      <x:c r="E3" s="352"/>
      <x:c r="F3" s="352"/>
      <x:c r="G3" s="352"/>
      <x:c r="H3" s="352"/>
      <x:c r="I3" s="352"/>
      <x:c r="J3" s="352"/>
      <x:c r="K3" s="352"/>
      <x:c r="L3" s="352"/>
      <x:c r="M3" s="352"/>
      <x:c r="N3" s="352"/>
      <x:c r="O3" s="352"/>
      <x:c r="P3" s="352"/>
      <x:c r="Q3" s="352"/>
      <x:c r="R3" s="352"/>
      <x:c r="S3" s="352"/>
    </x:row>
    <x:row r="4">
      <x:c r="A4" s="352"/>
      <x:c r="B4" s="352"/>
      <x:c r="C4" s="352"/>
      <x:c r="D4" s="352"/>
      <x:c r="E4" s="352"/>
      <x:c r="F4" s="352"/>
      <x:c r="G4" s="352"/>
      <x:c r="H4" s="352"/>
      <x:c r="I4" s="352"/>
      <x:c r="J4" s="352"/>
      <x:c r="K4" s="352"/>
      <x:c r="L4" s="352"/>
      <x:c r="M4" s="352"/>
      <x:c r="N4" s="352"/>
      <x:c r="O4" s="352"/>
      <x:c r="P4" s="352"/>
      <x:c r="Q4" s="352"/>
      <x:c r="R4" s="352"/>
      <x:c r="S4" s="352"/>
    </x:row>
    <x:row r="5" ht="30" customHeight="1">
      <x:c r="A5" s="78" t="str">
        <x:v>Grupo</x:v>
      </x:c>
      <x:c r="B5" s="78" t="str">
        <x:v>Variable / indicador</x:v>
      </x:c>
      <x:c r="C5" s="78" t="str">
        <x:v>Fórmula conceptual</x:v>
      </x:c>
      <x:c r="D5" s="78" t="str">
        <x:v>Unidad</x:v>
      </x:c>
      <x:c r="E5" s="78" t="str">
        <x:v>Uso en planificación</x:v>
      </x:c>
      <x:c r="F5" s="78" t="str">
        <x:v>Regla de lectura</x:v>
      </x:c>
      <x:c r="G5" s="78" t="str">
        <x:v>Hoja</x:v>
      </x:c>
      <x:c r="H5" s="352"/>
      <x:c r="I5" s="352"/>
      <x:c r="J5" s="352"/>
      <x:c r="K5" s="352"/>
      <x:c r="L5" s="352"/>
      <x:c r="M5" s="352"/>
      <x:c r="N5" s="352"/>
      <x:c r="O5" s="352"/>
      <x:c r="P5" s="352"/>
      <x:c r="Q5" s="352"/>
      <x:c r="R5" s="352"/>
      <x:c r="S5" s="352"/>
    </x:row>
    <x:row r="6">
      <x:c r="A6" s="524" t="str">
        <x:v>Base</x:v>
      </x:c>
      <x:c r="B6" s="524" t="str">
        <x:v>Cantidad Q</x:v>
      </x:c>
      <x:c r="C6" s="524" t="str">
        <x:v>Metrado aprobado</x:v>
      </x:c>
      <x:c r="D6" s="524" t="str">
        <x:v>u</x:v>
      </x:c>
      <x:c r="E6" s="524" t="str">
        <x:v>Dimensiona la actividad</x:v>
      </x:c>
      <x:c r="F6" s="524" t="str">
        <x:v>Debe coincidir con presupuesto/EDT</x:v>
      </x:c>
      <x:c r="G6" s="524" t="str">
        <x:v>01_Parametros</x:v>
      </x:c>
      <x:c r="H6" s="352"/>
      <x:c r="I6" s="352"/>
      <x:c r="J6" s="352"/>
      <x:c r="K6" s="352"/>
      <x:c r="L6" s="352"/>
      <x:c r="M6" s="352"/>
      <x:c r="N6" s="352"/>
      <x:c r="O6" s="352"/>
      <x:c r="P6" s="352"/>
      <x:c r="Q6" s="352"/>
      <x:c r="R6" s="352"/>
      <x:c r="S6" s="352"/>
    </x:row>
    <x:row r="7">
      <x:c r="A7" s="354" t="str">
        <x:v>Flujo</x:v>
      </x:c>
      <x:c r="B7" s="354" t="str">
        <x:v>Ciclo gobernante tg</x:v>
      </x:c>
      <x:c r="C7" s="354" t="str">
        <x:v>Máximo ciclo h/u de recursos operativos</x:v>
      </x:c>
      <x:c r="D7" s="354" t="str">
        <x:v>h/u</x:v>
      </x:c>
      <x:c r="E7" s="354" t="str">
        <x:v>Define el cuello de botella</x:v>
      </x:c>
      <x:c r="F7" s="354" t="str">
        <x:v>Mayor ciclo = menor producción</x:v>
      </x:c>
      <x:c r="G7" s="354" t="str">
        <x:v>03_Calculos_Plan</x:v>
      </x:c>
      <x:c r="H7" s="352"/>
      <x:c r="I7" s="352"/>
      <x:c r="J7" s="352"/>
      <x:c r="K7" s="352"/>
      <x:c r="L7" s="352"/>
      <x:c r="M7" s="352"/>
      <x:c r="N7" s="352"/>
      <x:c r="O7" s="352"/>
      <x:c r="P7" s="352"/>
      <x:c r="Q7" s="352"/>
      <x:c r="R7" s="352"/>
      <x:c r="S7" s="352"/>
    </x:row>
    <x:row r="8">
      <x:c r="A8" s="524" t="str">
        <x:v>Flujo</x:v>
      </x:c>
      <x:c r="B8" s="524" t="str">
        <x:v>Producción teórica Pt</x:v>
      </x:c>
      <x:c r="C8" s="524" t="str">
        <x:v>1/tg</x:v>
      </x:c>
      <x:c r="D8" s="524" t="str">
        <x:v>u/h</x:v>
      </x:c>
      <x:c r="E8" s="524" t="str">
        <x:v>Capacidad sin pérdidas</x:v>
      </x:c>
      <x:c r="F8" s="524" t="str">
        <x:v>No usar como compromiso sin justificar Fp</x:v>
      </x:c>
      <x:c r="G8" s="524" t="str">
        <x:v>03_Calculos_Plan</x:v>
      </x:c>
      <x:c r="H8" s="352"/>
      <x:c r="I8" s="352"/>
      <x:c r="J8" s="352"/>
      <x:c r="K8" s="352"/>
      <x:c r="L8" s="352"/>
      <x:c r="M8" s="352"/>
      <x:c r="N8" s="352"/>
      <x:c r="O8" s="352"/>
      <x:c r="P8" s="352"/>
      <x:c r="Q8" s="352"/>
      <x:c r="R8" s="352"/>
      <x:c r="S8" s="352"/>
    </x:row>
    <x:row r="9">
      <x:c r="A9" s="354" t="str">
        <x:v>Supuesto</x:v>
      </x:c>
      <x:c r="B9" s="354" t="str">
        <x:v>Factor de planificación Fp</x:v>
      </x:c>
      <x:c r="C9" s="354" t="str">
        <x:v>Supuesto 0&lt;Fp≤1</x:v>
      </x:c>
      <x:c r="D9" s="354" t="str">
        <x:v>%</x:v>
      </x:c>
      <x:c r="E9" s="354" t="str">
        <x:v>Ajusta capacidad por restricciones previstas</x:v>
      </x:c>
      <x:c r="F9" s="354" t="str">
        <x:v>Debe documentarse y aprobarse</x:v>
      </x:c>
      <x:c r="G9" s="354" t="str">
        <x:v>01_Parametros</x:v>
      </x:c>
      <x:c r="H9" s="352"/>
      <x:c r="I9" s="352"/>
      <x:c r="J9" s="352"/>
      <x:c r="K9" s="352"/>
      <x:c r="L9" s="352"/>
      <x:c r="M9" s="352"/>
      <x:c r="N9" s="352"/>
      <x:c r="O9" s="352"/>
      <x:c r="P9" s="352"/>
      <x:c r="Q9" s="352"/>
      <x:c r="R9" s="352"/>
      <x:c r="S9" s="352"/>
    </x:row>
    <x:row r="10">
      <x:c r="A10" s="524" t="str">
        <x:v>Flujo</x:v>
      </x:c>
      <x:c r="B10" s="524" t="str">
        <x:v>Producción planificada Pp</x:v>
      </x:c>
      <x:c r="C10" s="524" t="str">
        <x:v>Pt×Fp</x:v>
      </x:c>
      <x:c r="D10" s="524" t="str">
        <x:v>u/h</x:v>
      </x:c>
      <x:c r="E10" s="524" t="str">
        <x:v>Base para cronograma</x:v>
      </x:c>
      <x:c r="F10" s="524" t="str">
        <x:v>Menor Fp reduce producción</x:v>
      </x:c>
      <x:c r="G10" s="524" t="str">
        <x:v>03_Calculos_Plan</x:v>
      </x:c>
      <x:c r="H10" s="352"/>
      <x:c r="I10" s="352"/>
      <x:c r="J10" s="352"/>
      <x:c r="K10" s="352"/>
      <x:c r="L10" s="352"/>
      <x:c r="M10" s="352"/>
      <x:c r="N10" s="352"/>
      <x:c r="O10" s="352"/>
      <x:c r="P10" s="352"/>
      <x:c r="Q10" s="352"/>
      <x:c r="R10" s="352"/>
      <x:c r="S10" s="352"/>
    </x:row>
    <x:row r="11">
      <x:c r="A11" s="354" t="str">
        <x:v>Plazo</x:v>
      </x:c>
      <x:c r="B11" s="354" t="str">
        <x:v>Duración planificada</x:v>
      </x:c>
      <x:c r="C11" s="354" t="str">
        <x:v>Q/Pp</x:v>
      </x:c>
      <x:c r="D11" s="354" t="str">
        <x:v>h o días</x:v>
      </x:c>
      <x:c r="E11" s="354" t="str">
        <x:v>Duración de línea base</x:v>
      </x:c>
      <x:c r="F11" s="354" t="str">
        <x:v>Considerar jornada y calendarios</x:v>
      </x:c>
      <x:c r="G11" s="354" t="str">
        <x:v>03_Calculos_Plan</x:v>
      </x:c>
      <x:c r="H11" s="352"/>
      <x:c r="I11" s="352"/>
      <x:c r="J11" s="352"/>
      <x:c r="K11" s="352"/>
      <x:c r="L11" s="352"/>
      <x:c r="M11" s="352"/>
      <x:c r="N11" s="352"/>
      <x:c r="O11" s="352"/>
      <x:c r="P11" s="352"/>
      <x:c r="Q11" s="352"/>
      <x:c r="R11" s="352"/>
      <x:c r="S11" s="352"/>
    </x:row>
    <x:row r="12">
      <x:c r="A12" s="524" t="str">
        <x:v>Labor</x:v>
      </x:c>
      <x:c r="B12" s="524" t="str">
        <x:v>Intensidad laboral</x:v>
      </x:c>
      <x:c r="C12" s="524" t="str">
        <x:v>Σ(n×ciclo)</x:v>
      </x:c>
      <x:c r="D12" s="524" t="str">
        <x:v>HH/u</x:v>
      </x:c>
      <x:c r="E12" s="524" t="str">
        <x:v>Contenido de trabajo por unidad</x:v>
      </x:c>
      <x:c r="F12" s="524" t="str">
        <x:v>Menor intensidad = mayor productividad</x:v>
      </x:c>
      <x:c r="G12" s="524" t="str">
        <x:v>03_Calculos_Plan</x:v>
      </x:c>
      <x:c r="H12" s="352"/>
      <x:c r="I12" s="352"/>
      <x:c r="J12" s="352"/>
      <x:c r="K12" s="352"/>
      <x:c r="L12" s="352"/>
      <x:c r="M12" s="352"/>
      <x:c r="N12" s="352"/>
      <x:c r="O12" s="352"/>
      <x:c r="P12" s="352"/>
      <x:c r="Q12" s="352"/>
      <x:c r="R12" s="352"/>
      <x:c r="S12" s="352"/>
    </x:row>
    <x:row r="13">
      <x:c r="A13" s="354" t="str">
        <x:v>Labor</x:v>
      </x:c>
      <x:c r="B13" s="354" t="str">
        <x:v>Trabajo planificado</x:v>
      </x:c>
      <x:c r="C13" s="354" t="str">
        <x:v>Q×intensidad/Fp</x:v>
      </x:c>
      <x:c r="D13" s="354" t="str">
        <x:v>HH</x:v>
      </x:c>
      <x:c r="E13" s="354" t="str">
        <x:v>Horas programadas de mano de obra</x:v>
      </x:c>
      <x:c r="F13" s="354" t="str">
        <x:v>Incluye pérdidas previstas</x:v>
      </x:c>
      <x:c r="G13" s="354" t="str">
        <x:v>03_Calculos_Plan</x:v>
      </x:c>
      <x:c r="H13" s="352"/>
      <x:c r="I13" s="352"/>
      <x:c r="J13" s="352"/>
      <x:c r="K13" s="352"/>
      <x:c r="L13" s="352"/>
      <x:c r="M13" s="352"/>
      <x:c r="N13" s="352"/>
      <x:c r="O13" s="352"/>
      <x:c r="P13" s="352"/>
      <x:c r="Q13" s="352"/>
      <x:c r="R13" s="352"/>
      <x:c r="S13" s="352"/>
    </x:row>
    <x:row r="14">
      <x:c r="A14" s="524" t="str">
        <x:v>Labor</x:v>
      </x:c>
      <x:c r="B14" s="524" t="str">
        <x:v>Productividad laboral plan</x:v>
      </x:c>
      <x:c r="C14" s="524" t="str">
        <x:v>Q/trabajo plan</x:v>
      </x:c>
      <x:c r="D14" s="524" t="str">
        <x:v>u/HH</x:v>
      </x:c>
      <x:c r="E14" s="524" t="str">
        <x:v>Eficiencia planificada</x:v>
      </x:c>
      <x:c r="F14" s="524" t="str">
        <x:v>No confundir con producción u/h</x:v>
      </x:c>
      <x:c r="G14" s="524" t="str">
        <x:v>03_Calculos_Plan</x:v>
      </x:c>
      <x:c r="H14" s="352"/>
      <x:c r="I14" s="352"/>
      <x:c r="J14" s="352"/>
      <x:c r="K14" s="352"/>
      <x:c r="L14" s="352"/>
      <x:c r="M14" s="352"/>
      <x:c r="N14" s="352"/>
      <x:c r="O14" s="352"/>
      <x:c r="P14" s="352"/>
      <x:c r="Q14" s="352"/>
      <x:c r="R14" s="352"/>
      <x:c r="S14" s="352"/>
    </x:row>
    <x:row r="15">
      <x:c r="A15" s="354" t="str">
        <x:v>Equipo</x:v>
      </x:c>
      <x:c r="B15" s="354" t="str">
        <x:v>Consumo planificado</x:v>
      </x:c>
      <x:c r="C15" s="354" t="str">
        <x:v>Q×intensidad/Fp</x:v>
      </x:c>
      <x:c r="D15" s="354" t="str">
        <x:v>EH</x:v>
      </x:c>
      <x:c r="E15" s="354" t="str">
        <x:v>Horas-equipo programadas</x:v>
      </x:c>
      <x:c r="F15" s="354" t="str">
        <x:v>Separar cada equipo</x:v>
      </x:c>
      <x:c r="G15" s="354" t="str">
        <x:v>05_Programa_Recursos</x:v>
      </x:c>
      <x:c r="H15" s="352"/>
      <x:c r="I15" s="352"/>
      <x:c r="J15" s="352"/>
      <x:c r="K15" s="352"/>
      <x:c r="L15" s="352"/>
      <x:c r="M15" s="352"/>
      <x:c r="N15" s="352"/>
      <x:c r="O15" s="352"/>
      <x:c r="P15" s="352"/>
      <x:c r="Q15" s="352"/>
      <x:c r="R15" s="352"/>
      <x:c r="S15" s="352"/>
    </x:row>
    <x:row r="16">
      <x:c r="A16" s="524" t="str">
        <x:v>Material</x:v>
      </x:c>
      <x:c r="B16" s="524" t="str">
        <x:v>Consumo total</x:v>
      </x:c>
      <x:c r="C16" s="524" t="str">
        <x:v>Q×coeficiente×(1+desperdicio)</x:v>
      </x:c>
      <x:c r="D16" s="524" t="str">
        <x:v>unidad material</x:v>
      </x:c>
      <x:c r="E16" s="524" t="str">
        <x:v>Requerimiento de compra</x:v>
      </x:c>
      <x:c r="F16" s="524" t="str">
        <x:v>Fp no modifica materiales</x:v>
      </x:c>
      <x:c r="G16" s="524" t="str">
        <x:v>05_Programa_Recursos</x:v>
      </x:c>
      <x:c r="H16" s="352"/>
      <x:c r="I16" s="352"/>
      <x:c r="J16" s="352"/>
      <x:c r="K16" s="352"/>
      <x:c r="L16" s="352"/>
      <x:c r="M16" s="352"/>
      <x:c r="N16" s="352"/>
      <x:c r="O16" s="352"/>
      <x:c r="P16" s="352"/>
      <x:c r="Q16" s="352"/>
      <x:c r="R16" s="352"/>
      <x:c r="S16" s="352"/>
    </x:row>
    <x:row r="17">
      <x:c r="A17" s="354" t="str">
        <x:v>Costo</x:v>
      </x:c>
      <x:c r="B17" s="354" t="str">
        <x:v>Costo directo plan</x:v>
      </x:c>
      <x:c r="C17" s="354" t="str">
        <x:v>Material + (MO+Equipo)/Fp</x:v>
      </x:c>
      <x:c r="D17" s="354" t="str">
        <x:v>US$/u</x:v>
      </x:c>
      <x:c r="E17" s="354" t="str">
        <x:v>Costo compatible con duración planificada</x:v>
      </x:c>
      <x:c r="F17" s="354" t="str">
        <x:v>Usar precisión completa</x:v>
      </x:c>
      <x:c r="G17" s="354" t="str">
        <x:v>03_Calculos_Plan</x:v>
      </x:c>
      <x:c r="H17" s="352"/>
      <x:c r="I17" s="352"/>
      <x:c r="J17" s="352"/>
      <x:c r="K17" s="352"/>
      <x:c r="L17" s="352"/>
      <x:c r="M17" s="352"/>
      <x:c r="N17" s="352"/>
      <x:c r="O17" s="352"/>
      <x:c r="P17" s="352"/>
      <x:c r="Q17" s="352"/>
      <x:c r="R17" s="352"/>
      <x:c r="S17" s="352"/>
    </x:row>
    <x:row r="18">
      <x:c r="A18" s="524" t="str">
        <x:v>Costo</x:v>
      </x:c>
      <x:c r="B18" s="524" t="str">
        <x:v>Precio unitario plan</x:v>
      </x:c>
      <x:c r="C18" s="524" t="str">
        <x:v>Costo directo plan + indirecto fijo</x:v>
      </x:c>
      <x:c r="D18" s="524" t="str">
        <x:v>US$/u</x:v>
      </x:c>
      <x:c r="E18" s="524" t="str">
        <x:v>Base económica de planificación</x:v>
      </x:c>
      <x:c r="F18" s="524" t="str">
        <x:v>Distinguir de precio contractual</x:v>
      </x:c>
      <x:c r="G18" s="524" t="str">
        <x:v>03_Calculos_Plan</x:v>
      </x:c>
      <x:c r="H18" s="352"/>
      <x:c r="I18" s="352"/>
      <x:c r="J18" s="352"/>
      <x:c r="K18" s="352"/>
      <x:c r="L18" s="352"/>
      <x:c r="M18" s="352"/>
      <x:c r="N18" s="352"/>
      <x:c r="O18" s="352"/>
      <x:c r="P18" s="352"/>
      <x:c r="Q18" s="352"/>
      <x:c r="R18" s="352"/>
      <x:c r="S18" s="352"/>
    </x:row>
    <x:row r="19">
      <x:c r="A19" s="354" t="str">
        <x:v>Recursos</x:v>
      </x:c>
      <x:c r="B19" s="354" t="str">
        <x:v>Carga nominal</x:v>
      </x:c>
      <x:c r="C19" s="354" t="str">
        <x:v>Cuadrilla equivalente/cuadrilla nominal</x:v>
      </x:c>
      <x:c r="D19" s="354" t="str">
        <x:v>%</x:v>
      </x:c>
      <x:c r="E19" s="354" t="str">
        <x:v>Detecta sobredimensionamiento o holgura</x:v>
      </x:c>
      <x:c r="F19" s="354" t="str">
        <x:v>Revisar cargas muy bajas</x:v>
      </x:c>
      <x:c r="G19" s="354" t="str">
        <x:v>03_Calculos_Plan</x:v>
      </x:c>
      <x:c r="H19" s="352"/>
      <x:c r="I19" s="352"/>
      <x:c r="J19" s="352"/>
      <x:c r="K19" s="352"/>
      <x:c r="L19" s="352"/>
      <x:c r="M19" s="352"/>
      <x:c r="N19" s="352"/>
      <x:c r="O19" s="352"/>
      <x:c r="P19" s="352"/>
      <x:c r="Q19" s="352"/>
      <x:c r="R19" s="352"/>
      <x:c r="S19" s="352"/>
    </x:row>
    <x:row r="20">
      <x:c r="A20" s="352"/>
      <x:c r="B20" s="352"/>
      <x:c r="C20" s="352"/>
      <x:c r="D20" s="352"/>
      <x:c r="E20" s="352"/>
      <x:c r="F20" s="352"/>
      <x:c r="G20" s="352"/>
      <x:c r="H20" s="352"/>
      <x:c r="I20" s="352"/>
      <x:c r="J20" s="352"/>
      <x:c r="K20" s="352"/>
      <x:c r="L20" s="352"/>
      <x:c r="M20" s="352"/>
      <x:c r="N20" s="352"/>
      <x:c r="O20" s="352"/>
      <x:c r="P20" s="352"/>
      <x:c r="Q20" s="352"/>
      <x:c r="R20" s="352"/>
      <x:c r="S20" s="352"/>
    </x:row>
    <x:row r="21">
      <x:c r="A21" s="352"/>
      <x:c r="B21" s="352"/>
      <x:c r="C21" s="352"/>
      <x:c r="D21" s="352"/>
      <x:c r="E21" s="352"/>
      <x:c r="F21" s="352"/>
      <x:c r="G21" s="352"/>
      <x:c r="H21" s="352"/>
      <x:c r="I21" s="352"/>
      <x:c r="J21" s="352"/>
      <x:c r="K21" s="352"/>
      <x:c r="L21" s="352"/>
      <x:c r="M21" s="352"/>
      <x:c r="N21" s="352"/>
      <x:c r="O21" s="352"/>
      <x:c r="P21" s="352"/>
      <x:c r="Q21" s="352"/>
      <x:c r="R21" s="352"/>
      <x:c r="S21" s="352"/>
    </x:row>
    <x:row r="22">
      <x:c r="A22" s="352"/>
      <x:c r="B22" s="352"/>
      <x:c r="C22" s="352"/>
      <x:c r="D22" s="352"/>
      <x:c r="E22" s="352"/>
      <x:c r="F22" s="352"/>
      <x:c r="G22" s="352"/>
      <x:c r="H22" s="352"/>
      <x:c r="I22" s="352"/>
      <x:c r="J22" s="352"/>
      <x:c r="K22" s="352"/>
      <x:c r="L22" s="352"/>
      <x:c r="M22" s="352"/>
      <x:c r="N22" s="352"/>
      <x:c r="O22" s="352"/>
      <x:c r="P22" s="352"/>
      <x:c r="Q22" s="352"/>
      <x:c r="R22" s="352"/>
      <x:c r="S22" s="352"/>
    </x:row>
    <x:row r="23">
      <x:c r="A23" s="352"/>
      <x:c r="B23" s="352"/>
      <x:c r="C23" s="352"/>
      <x:c r="D23" s="352"/>
      <x:c r="E23" s="352"/>
      <x:c r="F23" s="352"/>
      <x:c r="G23" s="352"/>
      <x:c r="H23" s="352"/>
      <x:c r="I23" s="352"/>
      <x:c r="J23" s="352"/>
      <x:c r="K23" s="352"/>
      <x:c r="L23" s="352"/>
      <x:c r="M23" s="352"/>
      <x:c r="N23" s="352"/>
      <x:c r="O23" s="352"/>
      <x:c r="P23" s="352"/>
      <x:c r="Q23" s="352"/>
      <x:c r="R23" s="352"/>
      <x:c r="S23" s="352"/>
    </x:row>
    <x:row r="24">
      <x:c r="A24" s="352"/>
      <x:c r="B24" s="352"/>
      <x:c r="C24" s="352"/>
      <x:c r="D24" s="352"/>
      <x:c r="E24" s="352"/>
      <x:c r="F24" s="352"/>
      <x:c r="G24" s="352"/>
      <x:c r="H24" s="352"/>
      <x:c r="I24" s="352"/>
      <x:c r="J24" s="352"/>
      <x:c r="K24" s="352"/>
      <x:c r="L24" s="352"/>
      <x:c r="M24" s="352"/>
      <x:c r="N24" s="352"/>
      <x:c r="O24" s="352"/>
      <x:c r="P24" s="352"/>
      <x:c r="Q24" s="352"/>
      <x:c r="R24" s="352"/>
      <x:c r="S24" s="352"/>
    </x:row>
    <x:row r="25">
      <x:c r="A25" s="352"/>
      <x:c r="B25" s="352"/>
      <x:c r="C25" s="352"/>
      <x:c r="D25" s="352"/>
      <x:c r="E25" s="352"/>
      <x:c r="F25" s="352"/>
      <x:c r="G25" s="352"/>
      <x:c r="H25" s="352"/>
      <x:c r="I25" s="352"/>
      <x:c r="J25" s="352"/>
      <x:c r="K25" s="352"/>
      <x:c r="L25" s="352"/>
      <x:c r="M25" s="352"/>
      <x:c r="N25" s="352"/>
      <x:c r="O25" s="352"/>
      <x:c r="P25" s="352"/>
      <x:c r="Q25" s="352"/>
      <x:c r="R25" s="352"/>
      <x:c r="S25" s="352"/>
    </x:row>
    <x:row r="26">
      <x:c r="A26" s="352"/>
      <x:c r="B26" s="352"/>
      <x:c r="C26" s="352"/>
      <x:c r="D26" s="352"/>
      <x:c r="E26" s="352"/>
      <x:c r="F26" s="352"/>
      <x:c r="G26" s="352"/>
      <x:c r="H26" s="352"/>
      <x:c r="I26" s="352"/>
      <x:c r="J26" s="352"/>
      <x:c r="K26" s="352"/>
      <x:c r="L26" s="352"/>
      <x:c r="M26" s="352"/>
      <x:c r="N26" s="352"/>
      <x:c r="O26" s="352"/>
      <x:c r="P26" s="352"/>
      <x:c r="Q26" s="352"/>
      <x:c r="R26" s="352"/>
      <x:c r="S26" s="352"/>
    </x:row>
    <x:row r="27">
      <x:c r="A27" s="352"/>
      <x:c r="B27" s="352"/>
      <x:c r="C27" s="352"/>
      <x:c r="D27" s="352"/>
      <x:c r="E27" s="352"/>
      <x:c r="F27" s="352"/>
      <x:c r="G27" s="352"/>
      <x:c r="H27" s="352"/>
      <x:c r="I27" s="352"/>
      <x:c r="J27" s="352"/>
      <x:c r="K27" s="352"/>
      <x:c r="L27" s="352"/>
      <x:c r="M27" s="352"/>
      <x:c r="N27" s="352"/>
      <x:c r="O27" s="352"/>
      <x:c r="P27" s="352"/>
      <x:c r="Q27" s="352"/>
      <x:c r="R27" s="352"/>
      <x:c r="S27" s="352"/>
    </x:row>
    <x:row r="28">
      <x:c r="A28" s="352"/>
      <x:c r="B28" s="352"/>
      <x:c r="C28" s="352"/>
      <x:c r="D28" s="352"/>
      <x:c r="E28" s="352"/>
      <x:c r="F28" s="352"/>
      <x:c r="G28" s="352"/>
      <x:c r="H28" s="352"/>
      <x:c r="I28" s="352"/>
      <x:c r="J28" s="352"/>
      <x:c r="K28" s="352"/>
      <x:c r="L28" s="352"/>
      <x:c r="M28" s="352"/>
      <x:c r="N28" s="352"/>
      <x:c r="O28" s="352"/>
      <x:c r="P28" s="352"/>
      <x:c r="Q28" s="352"/>
      <x:c r="R28" s="352"/>
      <x:c r="S28" s="352"/>
    </x:row>
    <x:row r="29">
      <x:c r="A29" s="352"/>
      <x:c r="B29" s="352"/>
      <x:c r="C29" s="352"/>
      <x:c r="D29" s="352"/>
      <x:c r="E29" s="352"/>
      <x:c r="F29" s="352"/>
      <x:c r="G29" s="352"/>
      <x:c r="H29" s="352"/>
      <x:c r="I29" s="352"/>
      <x:c r="J29" s="352"/>
      <x:c r="K29" s="352"/>
      <x:c r="L29" s="352"/>
      <x:c r="M29" s="352"/>
      <x:c r="N29" s="352"/>
      <x:c r="O29" s="352"/>
      <x:c r="P29" s="352"/>
      <x:c r="Q29" s="352"/>
      <x:c r="R29" s="352"/>
      <x:c r="S29" s="352"/>
    </x:row>
    <x:row r="30">
      <x:c r="A30" s="352"/>
      <x:c r="B30" s="352"/>
      <x:c r="C30" s="352"/>
      <x:c r="D30" s="352"/>
      <x:c r="E30" s="352"/>
      <x:c r="F30" s="352"/>
      <x:c r="G30" s="352"/>
      <x:c r="H30" s="352"/>
      <x:c r="I30" s="352"/>
      <x:c r="J30" s="352"/>
      <x:c r="K30" s="352"/>
      <x:c r="L30" s="352"/>
      <x:c r="M30" s="352"/>
      <x:c r="N30" s="352"/>
      <x:c r="O30" s="352"/>
      <x:c r="P30" s="352"/>
      <x:c r="Q30" s="352"/>
      <x:c r="R30" s="352"/>
      <x:c r="S30" s="352"/>
    </x:row>
    <x:row r="31">
      <x:c r="A31" s="352"/>
      <x:c r="B31" s="352"/>
      <x:c r="C31" s="352"/>
      <x:c r="D31" s="352"/>
      <x:c r="E31" s="352"/>
      <x:c r="F31" s="352"/>
      <x:c r="G31" s="352"/>
      <x:c r="H31" s="352"/>
      <x:c r="I31" s="352"/>
      <x:c r="J31" s="352"/>
      <x:c r="K31" s="352"/>
      <x:c r="L31" s="352"/>
      <x:c r="M31" s="352"/>
      <x:c r="N31" s="352"/>
      <x:c r="O31" s="352"/>
      <x:c r="P31" s="352"/>
      <x:c r="Q31" s="352"/>
      <x:c r="R31" s="352"/>
      <x:c r="S31" s="352"/>
    </x:row>
    <x:row r="32">
      <x:c r="A32" s="352"/>
      <x:c r="B32" s="352"/>
      <x:c r="C32" s="352"/>
      <x:c r="D32" s="352"/>
      <x:c r="E32" s="352"/>
      <x:c r="F32" s="352"/>
      <x:c r="G32" s="352"/>
      <x:c r="H32" s="352"/>
      <x:c r="I32" s="352"/>
      <x:c r="J32" s="352"/>
      <x:c r="K32" s="352"/>
      <x:c r="L32" s="352"/>
      <x:c r="M32" s="352"/>
      <x:c r="N32" s="352"/>
      <x:c r="O32" s="352"/>
      <x:c r="P32" s="352"/>
      <x:c r="Q32" s="352"/>
      <x:c r="R32" s="352"/>
      <x:c r="S32" s="352"/>
    </x:row>
    <x:row r="33">
      <x:c r="A33" s="352"/>
      <x:c r="B33" s="352"/>
      <x:c r="C33" s="352"/>
      <x:c r="D33" s="352"/>
      <x:c r="E33" s="352"/>
      <x:c r="F33" s="352"/>
      <x:c r="G33" s="352"/>
      <x:c r="H33" s="352"/>
      <x:c r="I33" s="352"/>
      <x:c r="J33" s="352"/>
      <x:c r="K33" s="352"/>
      <x:c r="L33" s="352"/>
      <x:c r="M33" s="352"/>
      <x:c r="N33" s="352"/>
      <x:c r="O33" s="352"/>
      <x:c r="P33" s="352"/>
      <x:c r="Q33" s="352"/>
      <x:c r="R33" s="352"/>
      <x:c r="S33" s="352"/>
    </x:row>
    <x:row r="34">
      <x:c r="A34" s="352"/>
      <x:c r="B34" s="352"/>
      <x:c r="C34" s="352"/>
      <x:c r="D34" s="352"/>
      <x:c r="E34" s="352"/>
      <x:c r="F34" s="352"/>
      <x:c r="G34" s="352"/>
      <x:c r="H34" s="352"/>
      <x:c r="I34" s="352"/>
      <x:c r="J34" s="352"/>
      <x:c r="K34" s="352"/>
      <x:c r="L34" s="352"/>
      <x:c r="M34" s="352"/>
      <x:c r="N34" s="352"/>
      <x:c r="O34" s="352"/>
      <x:c r="P34" s="352"/>
      <x:c r="Q34" s="352"/>
      <x:c r="R34" s="352"/>
      <x:c r="S34" s="352"/>
    </x:row>
    <x:row r="35">
      <x:c r="A35" s="352"/>
      <x:c r="B35" s="352"/>
      <x:c r="C35" s="352"/>
      <x:c r="D35" s="352"/>
      <x:c r="E35" s="352"/>
      <x:c r="F35" s="352"/>
      <x:c r="G35" s="352"/>
      <x:c r="H35" s="352"/>
      <x:c r="I35" s="352"/>
      <x:c r="J35" s="352"/>
      <x:c r="K35" s="352"/>
      <x:c r="L35" s="352"/>
      <x:c r="M35" s="352"/>
      <x:c r="N35" s="352"/>
      <x:c r="O35" s="352"/>
      <x:c r="P35" s="352"/>
      <x:c r="Q35" s="352"/>
      <x:c r="R35" s="352"/>
      <x:c r="S35" s="352"/>
    </x:row>
    <x:row r="36">
      <x:c r="A36" s="352"/>
      <x:c r="B36" s="352"/>
      <x:c r="C36" s="352"/>
      <x:c r="D36" s="352"/>
      <x:c r="E36" s="352"/>
      <x:c r="F36" s="352"/>
      <x:c r="G36" s="352"/>
      <x:c r="H36" s="352"/>
      <x:c r="I36" s="352"/>
      <x:c r="J36" s="352"/>
      <x:c r="K36" s="352"/>
      <x:c r="L36" s="352"/>
      <x:c r="M36" s="352"/>
      <x:c r="N36" s="352"/>
      <x:c r="O36" s="352"/>
      <x:c r="P36" s="352"/>
      <x:c r="Q36" s="352"/>
      <x:c r="R36" s="352"/>
      <x:c r="S36" s="352"/>
    </x:row>
    <x:row r="37">
      <x:c r="A37" s="352"/>
      <x:c r="B37" s="352"/>
      <x:c r="C37" s="352"/>
      <x:c r="D37" s="352"/>
      <x:c r="E37" s="352"/>
      <x:c r="F37" s="352"/>
      <x:c r="G37" s="352"/>
      <x:c r="H37" s="352"/>
      <x:c r="I37" s="352"/>
      <x:c r="J37" s="352"/>
      <x:c r="K37" s="352"/>
      <x:c r="L37" s="352"/>
      <x:c r="M37" s="352"/>
      <x:c r="N37" s="352"/>
      <x:c r="O37" s="352"/>
      <x:c r="P37" s="352"/>
      <x:c r="Q37" s="352"/>
      <x:c r="R37" s="352"/>
      <x:c r="S37" s="352"/>
    </x:row>
    <x:row r="38">
      <x:c r="A38" s="352"/>
      <x:c r="B38" s="352"/>
      <x:c r="C38" s="352"/>
      <x:c r="D38" s="352"/>
      <x:c r="E38" s="352"/>
      <x:c r="F38" s="352"/>
      <x:c r="G38" s="352"/>
      <x:c r="H38" s="352"/>
      <x:c r="I38" s="352"/>
      <x:c r="J38" s="352"/>
      <x:c r="K38" s="352"/>
      <x:c r="L38" s="352"/>
      <x:c r="M38" s="352"/>
      <x:c r="N38" s="352"/>
      <x:c r="O38" s="352"/>
      <x:c r="P38" s="352"/>
      <x:c r="Q38" s="352"/>
      <x:c r="R38" s="352"/>
      <x:c r="S38" s="352"/>
    </x:row>
    <x:row r="39">
      <x:c r="A39" s="352"/>
      <x:c r="B39" s="352"/>
      <x:c r="C39" s="352"/>
      <x:c r="D39" s="352"/>
      <x:c r="E39" s="352"/>
      <x:c r="F39" s="352"/>
      <x:c r="G39" s="352"/>
      <x:c r="H39" s="352"/>
      <x:c r="I39" s="352"/>
      <x:c r="J39" s="352"/>
      <x:c r="K39" s="352"/>
      <x:c r="L39" s="352"/>
      <x:c r="M39" s="352"/>
      <x:c r="N39" s="352"/>
      <x:c r="O39" s="352"/>
      <x:c r="P39" s="352"/>
      <x:c r="Q39" s="352"/>
      <x:c r="R39" s="352"/>
      <x:c r="S39" s="352"/>
    </x:row>
    <x:row r="40">
      <x:c r="A40" s="352"/>
      <x:c r="B40" s="352"/>
      <x:c r="C40" s="352"/>
      <x:c r="D40" s="352"/>
      <x:c r="E40" s="352"/>
      <x:c r="F40" s="352"/>
      <x:c r="G40" s="352"/>
      <x:c r="H40" s="352"/>
      <x:c r="I40" s="352"/>
      <x:c r="J40" s="352"/>
      <x:c r="K40" s="352"/>
      <x:c r="L40" s="352"/>
      <x:c r="M40" s="352"/>
      <x:c r="N40" s="352"/>
      <x:c r="O40" s="352"/>
      <x:c r="P40" s="352"/>
      <x:c r="Q40" s="352"/>
      <x:c r="R40" s="352"/>
      <x:c r="S40" s="352"/>
    </x:row>
    <x:row r="41">
      <x:c r="A41" s="352"/>
      <x:c r="B41" s="352"/>
      <x:c r="C41" s="352"/>
      <x:c r="D41" s="352"/>
      <x:c r="E41" s="352"/>
      <x:c r="F41" s="352"/>
      <x:c r="G41" s="352"/>
      <x:c r="H41" s="352"/>
      <x:c r="I41" s="352"/>
      <x:c r="J41" s="352"/>
      <x:c r="K41" s="352"/>
      <x:c r="L41" s="352"/>
      <x:c r="M41" s="352"/>
      <x:c r="N41" s="352"/>
      <x:c r="O41" s="352"/>
      <x:c r="P41" s="352"/>
      <x:c r="Q41" s="352"/>
      <x:c r="R41" s="352"/>
      <x:c r="S41" s="352"/>
    </x:row>
    <x:row r="42">
      <x:c r="A42" s="352"/>
      <x:c r="B42" s="352"/>
      <x:c r="C42" s="352"/>
      <x:c r="D42" s="352"/>
      <x:c r="E42" s="352"/>
      <x:c r="F42" s="352"/>
      <x:c r="G42" s="352"/>
      <x:c r="H42" s="352"/>
      <x:c r="I42" s="352"/>
      <x:c r="J42" s="352"/>
      <x:c r="K42" s="352"/>
      <x:c r="L42" s="352"/>
      <x:c r="M42" s="352"/>
      <x:c r="N42" s="352"/>
      <x:c r="O42" s="352"/>
      <x:c r="P42" s="352"/>
      <x:c r="Q42" s="352"/>
      <x:c r="R42" s="352"/>
      <x:c r="S42" s="352"/>
    </x:row>
    <x:row r="43">
      <x:c r="A43" s="352"/>
      <x:c r="B43" s="352"/>
      <x:c r="C43" s="352"/>
      <x:c r="D43" s="352"/>
      <x:c r="E43" s="352"/>
      <x:c r="F43" s="352"/>
      <x:c r="G43" s="352"/>
      <x:c r="H43" s="352"/>
      <x:c r="I43" s="352"/>
      <x:c r="J43" s="352"/>
      <x:c r="K43" s="352"/>
      <x:c r="L43" s="352"/>
      <x:c r="M43" s="352"/>
      <x:c r="N43" s="352"/>
      <x:c r="O43" s="352"/>
      <x:c r="P43" s="352"/>
      <x:c r="Q43" s="352"/>
      <x:c r="R43" s="352"/>
      <x:c r="S43" s="352"/>
    </x:row>
    <x:row r="44">
      <x:c r="A44" s="352"/>
      <x:c r="B44" s="352"/>
      <x:c r="C44" s="352"/>
      <x:c r="D44" s="352"/>
      <x:c r="E44" s="352"/>
      <x:c r="F44" s="352"/>
      <x:c r="G44" s="352"/>
      <x:c r="H44" s="352"/>
      <x:c r="I44" s="352"/>
      <x:c r="J44" s="352"/>
      <x:c r="K44" s="352"/>
      <x:c r="L44" s="352"/>
      <x:c r="M44" s="352"/>
      <x:c r="N44" s="352"/>
      <x:c r="O44" s="352"/>
      <x:c r="P44" s="352"/>
      <x:c r="Q44" s="352"/>
      <x:c r="R44" s="352"/>
      <x:c r="S44" s="352"/>
    </x:row>
    <x:row r="45">
      <x:c r="A45" s="352"/>
      <x:c r="B45" s="352"/>
      <x:c r="C45" s="352"/>
      <x:c r="D45" s="352"/>
      <x:c r="E45" s="352"/>
      <x:c r="F45" s="352"/>
      <x:c r="G45" s="352"/>
      <x:c r="H45" s="352"/>
      <x:c r="I45" s="352"/>
      <x:c r="J45" s="352"/>
      <x:c r="K45" s="352"/>
      <x:c r="L45" s="352"/>
      <x:c r="M45" s="352"/>
      <x:c r="N45" s="352"/>
      <x:c r="O45" s="352"/>
      <x:c r="P45" s="352"/>
      <x:c r="Q45" s="352"/>
      <x:c r="R45" s="352"/>
      <x:c r="S45" s="352"/>
    </x:row>
    <x:row r="46">
      <x:c r="A46" s="352"/>
      <x:c r="B46" s="352"/>
      <x:c r="C46" s="352"/>
      <x:c r="D46" s="352"/>
      <x:c r="E46" s="352"/>
      <x:c r="F46" s="352"/>
      <x:c r="G46" s="352"/>
      <x:c r="H46" s="352"/>
      <x:c r="I46" s="352"/>
      <x:c r="J46" s="352"/>
      <x:c r="K46" s="352"/>
      <x:c r="L46" s="352"/>
      <x:c r="M46" s="352"/>
      <x:c r="N46" s="352"/>
      <x:c r="O46" s="352"/>
      <x:c r="P46" s="352"/>
      <x:c r="Q46" s="352"/>
      <x:c r="R46" s="352"/>
      <x:c r="S46" s="352"/>
    </x:row>
    <x:row r="47">
      <x:c r="A47" s="352"/>
      <x:c r="B47" s="352"/>
      <x:c r="C47" s="352"/>
      <x:c r="D47" s="352"/>
      <x:c r="E47" s="352"/>
      <x:c r="F47" s="352"/>
      <x:c r="G47" s="352"/>
      <x:c r="H47" s="352"/>
      <x:c r="I47" s="352"/>
      <x:c r="J47" s="352"/>
      <x:c r="K47" s="352"/>
      <x:c r="L47" s="352"/>
      <x:c r="M47" s="352"/>
      <x:c r="N47" s="352"/>
      <x:c r="O47" s="352"/>
      <x:c r="P47" s="352"/>
      <x:c r="Q47" s="352"/>
      <x:c r="R47" s="352"/>
      <x:c r="S47" s="352"/>
    </x:row>
    <x:row r="48">
      <x:c r="A48" s="352"/>
      <x:c r="B48" s="352"/>
      <x:c r="C48" s="352"/>
      <x:c r="D48" s="352"/>
      <x:c r="E48" s="352"/>
      <x:c r="F48" s="352"/>
      <x:c r="G48" s="352"/>
      <x:c r="H48" s="352"/>
      <x:c r="I48" s="352"/>
      <x:c r="J48" s="352"/>
      <x:c r="K48" s="352"/>
      <x:c r="L48" s="352"/>
      <x:c r="M48" s="352"/>
      <x:c r="N48" s="352"/>
      <x:c r="O48" s="352"/>
      <x:c r="P48" s="352"/>
      <x:c r="Q48" s="352"/>
      <x:c r="R48" s="352"/>
      <x:c r="S48" s="352"/>
    </x:row>
    <x:row r="49">
      <x:c r="A49" s="352"/>
      <x:c r="B49" s="352"/>
      <x:c r="C49" s="352"/>
      <x:c r="D49" s="352"/>
      <x:c r="E49" s="352"/>
      <x:c r="F49" s="352"/>
      <x:c r="G49" s="352"/>
      <x:c r="H49" s="352"/>
      <x:c r="I49" s="352"/>
      <x:c r="J49" s="352"/>
      <x:c r="K49" s="352"/>
      <x:c r="L49" s="352"/>
      <x:c r="M49" s="352"/>
      <x:c r="N49" s="352"/>
      <x:c r="O49" s="352"/>
      <x:c r="P49" s="352"/>
      <x:c r="Q49" s="352"/>
      <x:c r="R49" s="352"/>
      <x:c r="S49" s="352"/>
    </x:row>
    <x:row r="50">
      <x:c r="A50" s="352"/>
      <x:c r="B50" s="352"/>
      <x:c r="C50" s="352"/>
      <x:c r="D50" s="352"/>
      <x:c r="E50" s="352"/>
      <x:c r="F50" s="352"/>
      <x:c r="G50" s="352"/>
      <x:c r="H50" s="352"/>
      <x:c r="I50" s="352"/>
      <x:c r="J50" s="352"/>
      <x:c r="K50" s="352"/>
      <x:c r="L50" s="352"/>
      <x:c r="M50" s="352"/>
      <x:c r="N50" s="352"/>
      <x:c r="O50" s="352"/>
      <x:c r="P50" s="352"/>
      <x:c r="Q50" s="352"/>
      <x:c r="R50" s="352"/>
      <x:c r="S50" s="352"/>
    </x:row>
    <x:row r="51">
      <x:c r="A51" s="352"/>
      <x:c r="B51" s="352"/>
      <x:c r="C51" s="352"/>
      <x:c r="D51" s="352"/>
      <x:c r="E51" s="352"/>
      <x:c r="F51" s="352"/>
      <x:c r="G51" s="352"/>
      <x:c r="H51" s="352"/>
      <x:c r="I51" s="352"/>
      <x:c r="J51" s="352"/>
      <x:c r="K51" s="352"/>
      <x:c r="L51" s="352"/>
      <x:c r="M51" s="352"/>
      <x:c r="N51" s="352"/>
      <x:c r="O51" s="352"/>
      <x:c r="P51" s="352"/>
      <x:c r="Q51" s="352"/>
      <x:c r="R51" s="352"/>
      <x:c r="S51" s="352"/>
    </x:row>
    <x:row r="52">
      <x:c r="A52" s="352"/>
      <x:c r="B52" s="352"/>
      <x:c r="C52" s="352"/>
      <x:c r="D52" s="352"/>
      <x:c r="E52" s="352"/>
      <x:c r="F52" s="352"/>
      <x:c r="G52" s="352"/>
      <x:c r="H52" s="352"/>
      <x:c r="I52" s="352"/>
      <x:c r="J52" s="352"/>
      <x:c r="K52" s="352"/>
      <x:c r="L52" s="352"/>
      <x:c r="M52" s="352"/>
      <x:c r="N52" s="352"/>
      <x:c r="O52" s="352"/>
      <x:c r="P52" s="352"/>
      <x:c r="Q52" s="352"/>
      <x:c r="R52" s="352"/>
      <x:c r="S52" s="352"/>
    </x:row>
    <x:row r="53">
      <x:c r="A53" s="352"/>
      <x:c r="B53" s="352"/>
      <x:c r="C53" s="352"/>
      <x:c r="D53" s="352"/>
      <x:c r="E53" s="352"/>
      <x:c r="F53" s="352"/>
      <x:c r="G53" s="352"/>
      <x:c r="H53" s="352"/>
      <x:c r="I53" s="352"/>
      <x:c r="J53" s="352"/>
      <x:c r="K53" s="352"/>
      <x:c r="L53" s="352"/>
      <x:c r="M53" s="352"/>
      <x:c r="N53" s="352"/>
      <x:c r="O53" s="352"/>
      <x:c r="P53" s="352"/>
      <x:c r="Q53" s="352"/>
      <x:c r="R53" s="352"/>
      <x:c r="S53" s="352"/>
    </x:row>
    <x:row r="54">
      <x:c r="A54" s="352"/>
      <x:c r="B54" s="352"/>
      <x:c r="C54" s="352"/>
      <x:c r="D54" s="352"/>
      <x:c r="E54" s="352"/>
      <x:c r="F54" s="352"/>
      <x:c r="G54" s="352"/>
      <x:c r="H54" s="352"/>
      <x:c r="I54" s="352"/>
      <x:c r="J54" s="352"/>
      <x:c r="K54" s="352"/>
      <x:c r="L54" s="352"/>
      <x:c r="M54" s="352"/>
      <x:c r="N54" s="352"/>
      <x:c r="O54" s="352"/>
      <x:c r="P54" s="352"/>
      <x:c r="Q54" s="352"/>
      <x:c r="R54" s="352"/>
      <x:c r="S54" s="352"/>
    </x:row>
    <x:row r="55">
      <x:c r="A55" s="352"/>
      <x:c r="B55" s="352"/>
      <x:c r="C55" s="352"/>
      <x:c r="D55" s="352"/>
      <x:c r="E55" s="352"/>
      <x:c r="F55" s="352"/>
      <x:c r="G55" s="352"/>
      <x:c r="H55" s="352"/>
      <x:c r="I55" s="352"/>
      <x:c r="J55" s="352"/>
      <x:c r="K55" s="352"/>
      <x:c r="L55" s="352"/>
      <x:c r="M55" s="352"/>
      <x:c r="N55" s="352"/>
      <x:c r="O55" s="352"/>
      <x:c r="P55" s="352"/>
      <x:c r="Q55" s="352"/>
      <x:c r="R55" s="352"/>
      <x:c r="S55" s="352"/>
    </x:row>
    <x:row r="56">
      <x:c r="A56" s="352"/>
      <x:c r="B56" s="352"/>
      <x:c r="C56" s="352"/>
      <x:c r="D56" s="352"/>
      <x:c r="E56" s="352"/>
      <x:c r="F56" s="352"/>
      <x:c r="G56" s="352"/>
      <x:c r="H56" s="352"/>
      <x:c r="I56" s="352"/>
      <x:c r="J56" s="352"/>
      <x:c r="K56" s="352"/>
      <x:c r="L56" s="352"/>
      <x:c r="M56" s="352"/>
      <x:c r="N56" s="352"/>
      <x:c r="O56" s="352"/>
      <x:c r="P56" s="352"/>
      <x:c r="Q56" s="352"/>
      <x:c r="R56" s="352"/>
      <x:c r="S56" s="352"/>
    </x:row>
    <x:row r="57">
      <x:c r="A57" s="352"/>
      <x:c r="B57" s="352"/>
      <x:c r="C57" s="352"/>
      <x:c r="D57" s="352"/>
      <x:c r="E57" s="352"/>
      <x:c r="F57" s="352"/>
      <x:c r="G57" s="352"/>
      <x:c r="H57" s="352"/>
      <x:c r="I57" s="352"/>
      <x:c r="J57" s="352"/>
      <x:c r="K57" s="352"/>
      <x:c r="L57" s="352"/>
      <x:c r="M57" s="352"/>
      <x:c r="N57" s="352"/>
      <x:c r="O57" s="352"/>
      <x:c r="P57" s="352"/>
      <x:c r="Q57" s="352"/>
      <x:c r="R57" s="352"/>
      <x:c r="S57" s="352"/>
    </x:row>
    <x:row r="58">
      <x:c r="A58" s="352"/>
      <x:c r="B58" s="352"/>
      <x:c r="C58" s="352"/>
      <x:c r="D58" s="352"/>
      <x:c r="E58" s="352"/>
      <x:c r="F58" s="352"/>
      <x:c r="G58" s="352"/>
      <x:c r="H58" s="352"/>
      <x:c r="I58" s="352"/>
      <x:c r="J58" s="352"/>
      <x:c r="K58" s="352"/>
      <x:c r="L58" s="352"/>
      <x:c r="M58" s="352"/>
      <x:c r="N58" s="352"/>
      <x:c r="O58" s="352"/>
      <x:c r="P58" s="352"/>
      <x:c r="Q58" s="352"/>
      <x:c r="R58" s="352"/>
      <x:c r="S58" s="352"/>
    </x:row>
    <x:row r="59">
      <x:c r="A59" s="352"/>
      <x:c r="B59" s="352"/>
      <x:c r="C59" s="352"/>
      <x:c r="D59" s="352"/>
      <x:c r="E59" s="352"/>
      <x:c r="F59" s="352"/>
      <x:c r="G59" s="352"/>
      <x:c r="H59" s="352"/>
      <x:c r="I59" s="352"/>
      <x:c r="J59" s="352"/>
      <x:c r="K59" s="352"/>
      <x:c r="L59" s="352"/>
      <x:c r="M59" s="352"/>
      <x:c r="N59" s="352"/>
      <x:c r="O59" s="352"/>
      <x:c r="P59" s="352"/>
      <x:c r="Q59" s="352"/>
      <x:c r="R59" s="352"/>
      <x:c r="S59" s="352"/>
    </x:row>
    <x:row r="60">
      <x:c r="A60" s="352"/>
      <x:c r="B60" s="352"/>
      <x:c r="C60" s="352"/>
      <x:c r="D60" s="352"/>
      <x:c r="E60" s="352"/>
      <x:c r="F60" s="352"/>
      <x:c r="G60" s="352"/>
      <x:c r="H60" s="352"/>
      <x:c r="I60" s="352"/>
      <x:c r="J60" s="352"/>
      <x:c r="K60" s="352"/>
      <x:c r="L60" s="352"/>
      <x:c r="M60" s="352"/>
      <x:c r="N60" s="352"/>
      <x:c r="O60" s="352"/>
      <x:c r="P60" s="352"/>
      <x:c r="Q60" s="352"/>
      <x:c r="R60" s="352"/>
      <x:c r="S60" s="352"/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d1fdd096afd54f69"/>
  </x:tableParts>
</x:worksheet>
</file>