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Bermeo\Downloads\"/>
    </mc:Choice>
  </mc:AlternateContent>
  <xr:revisionPtr revIDLastSave="0" documentId="13_ncr:1_{EF72D625-FA7E-4888-937F-28D466A8C387}" xr6:coauthVersionLast="47" xr6:coauthVersionMax="47" xr10:uidLastSave="{00000000-0000-0000-0000-000000000000}"/>
  <bookViews>
    <workbookView xWindow="-110" yWindow="-110" windowWidth="25820" windowHeight="15500" activeTab="7" xr2:uid="{B66C8F03-ABB6-408D-9D5E-4B91685D8B21}"/>
  </bookViews>
  <sheets>
    <sheet name="Hoja1" sheetId="2" r:id="rId1"/>
    <sheet name="1" sheetId="1" r:id="rId2"/>
    <sheet name="2" sheetId="3" r:id="rId3"/>
    <sheet name="3" sheetId="4" r:id="rId4"/>
    <sheet name="4(APU)" sheetId="8" r:id="rId5"/>
    <sheet name="4(APU anidado)" sheetId="9" r:id="rId6"/>
    <sheet name="4(APU anidado con cantidad)" sheetId="12" r:id="rId7"/>
    <sheet name="4(APU unificado)" sheetId="13" r:id="rId8"/>
    <sheet name="5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3" l="1"/>
  <c r="G24" i="13" s="1"/>
  <c r="F23" i="13"/>
  <c r="F22" i="13"/>
  <c r="F7" i="13"/>
  <c r="G7" i="13" s="1"/>
  <c r="M7" i="13"/>
  <c r="M23" i="13"/>
  <c r="M24" i="13"/>
  <c r="M22" i="13"/>
  <c r="L23" i="13"/>
  <c r="L24" i="13"/>
  <c r="L22" i="13"/>
  <c r="L7" i="13"/>
  <c r="G23" i="13"/>
  <c r="G22" i="13"/>
  <c r="AC12" i="13"/>
  <c r="AC13" i="13"/>
  <c r="AC14" i="13"/>
  <c r="AC11" i="13"/>
  <c r="AC24" i="13"/>
  <c r="AC23" i="13"/>
  <c r="AC22" i="13"/>
  <c r="AC7" i="13"/>
  <c r="AA24" i="13"/>
  <c r="AA23" i="13"/>
  <c r="AA22" i="13"/>
  <c r="AA7" i="13"/>
  <c r="Z23" i="13"/>
  <c r="Z24" i="13"/>
  <c r="Z22" i="13"/>
  <c r="Z7" i="13"/>
  <c r="F23" i="12"/>
  <c r="F22" i="12"/>
  <c r="F21" i="12"/>
  <c r="F7" i="12"/>
  <c r="D22" i="12"/>
  <c r="D23" i="12"/>
  <c r="D21" i="12"/>
  <c r="D7" i="12"/>
  <c r="D11" i="12"/>
  <c r="G11" i="12" s="1"/>
  <c r="D13" i="12"/>
  <c r="G13" i="12" s="1"/>
  <c r="D12" i="12"/>
  <c r="G12" i="12" s="1"/>
  <c r="V8" i="2"/>
  <c r="M8" i="2"/>
  <c r="R8" i="2"/>
  <c r="P8" i="2"/>
  <c r="K8" i="2"/>
  <c r="L8" i="2" s="1"/>
  <c r="N8" i="2" s="1"/>
  <c r="O8" i="2" s="1"/>
  <c r="K6" i="2"/>
  <c r="L6" i="2" s="1"/>
  <c r="J8" i="2"/>
  <c r="I8" i="2"/>
  <c r="F8" i="2"/>
  <c r="E8" i="2"/>
  <c r="G8" i="2" s="1"/>
  <c r="H8" i="2" s="1"/>
  <c r="G12" i="16"/>
  <c r="G15" i="16" s="1"/>
  <c r="G32" i="16"/>
  <c r="F26" i="16"/>
  <c r="D26" i="16"/>
  <c r="I22" i="16"/>
  <c r="I26" i="16" s="1"/>
  <c r="G22" i="16"/>
  <c r="G26" i="16" s="1"/>
  <c r="G20" i="16"/>
  <c r="F10" i="16"/>
  <c r="I10" i="16"/>
  <c r="I7" i="16"/>
  <c r="G7" i="16"/>
  <c r="G10" i="16" s="1"/>
  <c r="V7" i="2"/>
  <c r="K5" i="2"/>
  <c r="L5" i="2" s="1"/>
  <c r="K4" i="2"/>
  <c r="L4" i="2" s="1"/>
  <c r="D11" i="13"/>
  <c r="G11" i="13" s="1"/>
  <c r="G32" i="13"/>
  <c r="G20" i="13"/>
  <c r="D14" i="13"/>
  <c r="G14" i="13" s="1"/>
  <c r="D13" i="13"/>
  <c r="G13" i="13" s="1"/>
  <c r="D12" i="13"/>
  <c r="G12" i="13" s="1"/>
  <c r="G31" i="12"/>
  <c r="G19" i="12"/>
  <c r="G13" i="9"/>
  <c r="G31" i="9"/>
  <c r="D25" i="9"/>
  <c r="I23" i="9"/>
  <c r="G23" i="9"/>
  <c r="I22" i="9"/>
  <c r="G22" i="9"/>
  <c r="I21" i="9"/>
  <c r="G21" i="9"/>
  <c r="G19" i="9"/>
  <c r="G12" i="9"/>
  <c r="G11" i="9"/>
  <c r="I7" i="9"/>
  <c r="I9" i="9" s="1"/>
  <c r="G7" i="9"/>
  <c r="G9" i="9" s="1"/>
  <c r="G12" i="8"/>
  <c r="G31" i="8"/>
  <c r="D25" i="8"/>
  <c r="I23" i="8"/>
  <c r="G23" i="8"/>
  <c r="I22" i="8"/>
  <c r="G22" i="8"/>
  <c r="I21" i="8"/>
  <c r="G21" i="8"/>
  <c r="G19" i="8"/>
  <c r="G11" i="8"/>
  <c r="G14" i="8" s="1"/>
  <c r="I7" i="8"/>
  <c r="I9" i="8" s="1"/>
  <c r="G7" i="8"/>
  <c r="V6" i="2"/>
  <c r="C6" i="2"/>
  <c r="G12" i="4"/>
  <c r="G15" i="4" s="1"/>
  <c r="G8" i="4"/>
  <c r="I8" i="4"/>
  <c r="B6" i="2"/>
  <c r="G32" i="4"/>
  <c r="D26" i="4"/>
  <c r="I24" i="4"/>
  <c r="G24" i="4"/>
  <c r="I23" i="4"/>
  <c r="G23" i="4"/>
  <c r="I22" i="4"/>
  <c r="G22" i="4"/>
  <c r="G20" i="4"/>
  <c r="I7" i="4"/>
  <c r="G7" i="4"/>
  <c r="D26" i="1"/>
  <c r="M4" i="2" s="1"/>
  <c r="I26" i="1"/>
  <c r="P4" i="2" s="1"/>
  <c r="I23" i="1"/>
  <c r="I22" i="1"/>
  <c r="I10" i="1"/>
  <c r="J4" i="2" s="1"/>
  <c r="I7" i="1"/>
  <c r="D26" i="3"/>
  <c r="M5" i="2" s="1"/>
  <c r="I23" i="3"/>
  <c r="I24" i="3"/>
  <c r="I25" i="3"/>
  <c r="I22" i="3"/>
  <c r="I26" i="3" s="1"/>
  <c r="P5" i="2" s="1"/>
  <c r="I7" i="3"/>
  <c r="I10" i="3" s="1"/>
  <c r="J5" i="2" s="1"/>
  <c r="I5" i="2"/>
  <c r="C5" i="2"/>
  <c r="V5" i="2"/>
  <c r="C4" i="2"/>
  <c r="B5" i="2"/>
  <c r="B4" i="2"/>
  <c r="G23" i="3"/>
  <c r="G24" i="3"/>
  <c r="G32" i="3"/>
  <c r="G25" i="3"/>
  <c r="G22" i="3"/>
  <c r="G20" i="3"/>
  <c r="G15" i="3"/>
  <c r="G7" i="3"/>
  <c r="G10" i="3" s="1"/>
  <c r="V4" i="2"/>
  <c r="G15" i="13" l="1"/>
  <c r="G22" i="12"/>
  <c r="I23" i="12"/>
  <c r="G10" i="4"/>
  <c r="G35" i="4" s="1"/>
  <c r="I21" i="12"/>
  <c r="G7" i="12"/>
  <c r="G9" i="12" s="1"/>
  <c r="N4" i="2"/>
  <c r="O4" i="2" s="1"/>
  <c r="N5" i="2"/>
  <c r="O5" i="2" s="1"/>
  <c r="Q8" i="2"/>
  <c r="S8" i="2" s="1"/>
  <c r="U8" i="2" s="1"/>
  <c r="W8" i="2" s="1"/>
  <c r="F34" i="16"/>
  <c r="J7" i="16"/>
  <c r="K7" i="16" s="1"/>
  <c r="L7" i="16" s="1"/>
  <c r="J22" i="16"/>
  <c r="K22" i="16" s="1"/>
  <c r="L22" i="16" s="1"/>
  <c r="L26" i="16" s="1"/>
  <c r="G35" i="16"/>
  <c r="H15" i="16" s="1"/>
  <c r="G23" i="12"/>
  <c r="D26" i="13"/>
  <c r="M7" i="2" s="1"/>
  <c r="I22" i="12"/>
  <c r="I7" i="12"/>
  <c r="G14" i="12"/>
  <c r="G21" i="12"/>
  <c r="D25" i="12"/>
  <c r="I25" i="9"/>
  <c r="G14" i="9"/>
  <c r="G25" i="9"/>
  <c r="I25" i="8"/>
  <c r="G25" i="8"/>
  <c r="G9" i="8"/>
  <c r="I10" i="4"/>
  <c r="J6" i="2" s="1"/>
  <c r="I6" i="2"/>
  <c r="M6" i="2"/>
  <c r="N6" i="2" s="1"/>
  <c r="O6" i="2" s="1"/>
  <c r="G26" i="4"/>
  <c r="I26" i="4"/>
  <c r="Q5" i="2"/>
  <c r="G26" i="3"/>
  <c r="G35" i="3" s="1"/>
  <c r="I4" i="2"/>
  <c r="G32" i="1"/>
  <c r="G20" i="1"/>
  <c r="G15" i="1"/>
  <c r="G23" i="1"/>
  <c r="G22" i="1"/>
  <c r="G26" i="1" s="1"/>
  <c r="G7" i="1"/>
  <c r="G10" i="1" s="1"/>
  <c r="G35" i="1" l="1"/>
  <c r="R5" i="2"/>
  <c r="S5" i="2" s="1"/>
  <c r="U5" i="2" s="1"/>
  <c r="W5" i="2" s="1"/>
  <c r="R4" i="2"/>
  <c r="Q4" i="2"/>
  <c r="H26" i="16"/>
  <c r="H10" i="16"/>
  <c r="H12" i="16"/>
  <c r="H7" i="16"/>
  <c r="H20" i="16"/>
  <c r="G36" i="16"/>
  <c r="G37" i="16" s="1"/>
  <c r="H32" i="16"/>
  <c r="H22" i="16"/>
  <c r="L10" i="16"/>
  <c r="I25" i="12"/>
  <c r="I9" i="12"/>
  <c r="G25" i="12"/>
  <c r="G34" i="9"/>
  <c r="H13" i="9" s="1"/>
  <c r="G35" i="9"/>
  <c r="G36" i="9" s="1"/>
  <c r="H12" i="9"/>
  <c r="H21" i="9"/>
  <c r="H9" i="9"/>
  <c r="H23" i="9"/>
  <c r="H19" i="9"/>
  <c r="H31" i="9"/>
  <c r="H22" i="9"/>
  <c r="H11" i="9"/>
  <c r="H25" i="9"/>
  <c r="H14" i="9"/>
  <c r="G34" i="8"/>
  <c r="H12" i="8" s="1"/>
  <c r="E6" i="2"/>
  <c r="P6" i="2"/>
  <c r="Q6" i="2" s="1"/>
  <c r="H15" i="4"/>
  <c r="H12" i="4"/>
  <c r="H8" i="4"/>
  <c r="H7" i="4"/>
  <c r="H23" i="4"/>
  <c r="G36" i="4"/>
  <c r="H20" i="4"/>
  <c r="H32" i="4"/>
  <c r="H10" i="4"/>
  <c r="H22" i="4"/>
  <c r="H24" i="4"/>
  <c r="H26" i="4"/>
  <c r="E4" i="2"/>
  <c r="G36" i="1"/>
  <c r="H15" i="1"/>
  <c r="H20" i="1"/>
  <c r="H26" i="1"/>
  <c r="H32" i="1"/>
  <c r="H23" i="1"/>
  <c r="H7" i="1"/>
  <c r="H10" i="1"/>
  <c r="H22" i="1"/>
  <c r="H26" i="3"/>
  <c r="E5" i="2"/>
  <c r="H23" i="3"/>
  <c r="H24" i="3"/>
  <c r="H20" i="3"/>
  <c r="H7" i="3"/>
  <c r="G36" i="3"/>
  <c r="H32" i="3"/>
  <c r="H25" i="3"/>
  <c r="H22" i="3"/>
  <c r="H10" i="3"/>
  <c r="H15" i="3"/>
  <c r="H7" i="9" l="1"/>
  <c r="H25" i="8"/>
  <c r="R6" i="2"/>
  <c r="S6" i="2" s="1"/>
  <c r="U6" i="2" s="1"/>
  <c r="W6" i="2" s="1"/>
  <c r="S4" i="2"/>
  <c r="U4" i="2" s="1"/>
  <c r="W4" i="2" s="1"/>
  <c r="G34" i="12"/>
  <c r="H9" i="8"/>
  <c r="H31" i="8"/>
  <c r="H7" i="8"/>
  <c r="G35" i="8"/>
  <c r="G36" i="8" s="1"/>
  <c r="H21" i="8"/>
  <c r="H14" i="8"/>
  <c r="H23" i="8"/>
  <c r="H22" i="8"/>
  <c r="H11" i="8"/>
  <c r="H19" i="8"/>
  <c r="G37" i="4"/>
  <c r="F6" i="2"/>
  <c r="G6" i="2" s="1"/>
  <c r="H6" i="2" s="1"/>
  <c r="G37" i="1"/>
  <c r="F4" i="2"/>
  <c r="G4" i="2" s="1"/>
  <c r="H4" i="2" s="1"/>
  <c r="G37" i="3"/>
  <c r="F5" i="2"/>
  <c r="G5" i="2" s="1"/>
  <c r="H5" i="2" s="1"/>
  <c r="G35" i="12" l="1"/>
  <c r="G36" i="12" s="1"/>
  <c r="H19" i="12"/>
  <c r="H31" i="12"/>
  <c r="H23" i="12"/>
  <c r="H12" i="12"/>
  <c r="H13" i="12"/>
  <c r="H7" i="12"/>
  <c r="H22" i="12"/>
  <c r="H9" i="12"/>
  <c r="H11" i="12"/>
  <c r="H21" i="12"/>
  <c r="H14" i="12"/>
  <c r="H25" i="12"/>
  <c r="G9" i="13"/>
  <c r="I7" i="13" l="1"/>
  <c r="I9" i="13" s="1"/>
  <c r="J7" i="2" s="1"/>
  <c r="I7" i="2" l="1"/>
  <c r="K7" i="2" l="1"/>
  <c r="L7" i="2" s="1"/>
  <c r="N7" i="2" s="1"/>
  <c r="O7" i="2" s="1"/>
  <c r="I22" i="13" l="1"/>
  <c r="I23" i="13" l="1"/>
  <c r="G26" i="13"/>
  <c r="G35" i="13" s="1"/>
  <c r="H14" i="13" s="1"/>
  <c r="I24" i="13"/>
  <c r="H23" i="13" l="1"/>
  <c r="H26" i="13"/>
  <c r="G36" i="13"/>
  <c r="F7" i="2" s="1"/>
  <c r="E7" i="2"/>
  <c r="H20" i="13"/>
  <c r="H7" i="13"/>
  <c r="H15" i="13"/>
  <c r="H12" i="13"/>
  <c r="H22" i="13"/>
  <c r="H32" i="13"/>
  <c r="H9" i="13"/>
  <c r="H13" i="13"/>
  <c r="H11" i="13"/>
  <c r="I26" i="13"/>
  <c r="P7" i="2" s="1"/>
  <c r="Q7" i="2" s="1"/>
  <c r="H24" i="13"/>
  <c r="R7" i="2"/>
  <c r="G7" i="2" l="1"/>
  <c r="H7" i="2" s="1"/>
  <c r="G37" i="13"/>
  <c r="S7" i="2"/>
  <c r="U7" i="2" s="1"/>
  <c r="W7" i="2" s="1"/>
</calcChain>
</file>

<file path=xl/sharedStrings.xml><?xml version="1.0" encoding="utf-8"?>
<sst xmlns="http://schemas.openxmlformats.org/spreadsheetml/2006/main" count="370" uniqueCount="89">
  <si>
    <t>DESCRIPCIÓN</t>
  </si>
  <si>
    <t>Excavación manual, zanja 0-2 m, material sin clasificar</t>
  </si>
  <si>
    <t>DESCRIPCIÓN:</t>
  </si>
  <si>
    <t>UNIDAD:</t>
  </si>
  <si>
    <t>m3</t>
  </si>
  <si>
    <t>RENDIMIENTO:</t>
  </si>
  <si>
    <t>horas/unidad</t>
  </si>
  <si>
    <t>CODIGO</t>
  </si>
  <si>
    <t>UNIDAD</t>
  </si>
  <si>
    <t>CANTIDAD</t>
  </si>
  <si>
    <t>PRECIO</t>
  </si>
  <si>
    <t>RENDIMIENTO</t>
  </si>
  <si>
    <t>TOTAL</t>
  </si>
  <si>
    <t>EQUIPOS / HERRAMIENTAS</t>
  </si>
  <si>
    <t>MATERIALES</t>
  </si>
  <si>
    <t>TRANSPORTE</t>
  </si>
  <si>
    <t>MANO DE OBRA</t>
  </si>
  <si>
    <t>SEGURIDAD INDUSTRIAL</t>
  </si>
  <si>
    <t>Herramientas varias</t>
  </si>
  <si>
    <t>hora</t>
  </si>
  <si>
    <t>Peón</t>
  </si>
  <si>
    <t>Maestro de obra</t>
  </si>
  <si>
    <t>SUBTOTAL 1</t>
  </si>
  <si>
    <t>SUBTOTAL 2</t>
  </si>
  <si>
    <t>SUBTOTAL 3</t>
  </si>
  <si>
    <t>SUBTOTAL 4</t>
  </si>
  <si>
    <t>SUBTOTAL 5</t>
  </si>
  <si>
    <t>COSTO DIRECTO</t>
  </si>
  <si>
    <t>INDIRECTO (12%)</t>
  </si>
  <si>
    <t>COSTO TOTAL</t>
  </si>
  <si>
    <t>% COSTO</t>
  </si>
  <si>
    <t>DURACIÓN ACTIVIDAD</t>
  </si>
  <si>
    <t>% TIEMPO</t>
  </si>
  <si>
    <t>Item</t>
  </si>
  <si>
    <t>Descripción</t>
  </si>
  <si>
    <t>Unidad</t>
  </si>
  <si>
    <t>Cantidad</t>
  </si>
  <si>
    <t>P.Unitario</t>
  </si>
  <si>
    <t>P.Total</t>
  </si>
  <si>
    <t>Jornada Laboral
(horas)</t>
  </si>
  <si>
    <t>Dias útiles</t>
  </si>
  <si>
    <t>Factor de Conversión
(Días Mes / Días Laborables Mensual)</t>
  </si>
  <si>
    <t>Dias Calendario</t>
  </si>
  <si>
    <t>Costo Directo</t>
  </si>
  <si>
    <t>Costo Indirecto</t>
  </si>
  <si>
    <t>P. Unitario</t>
  </si>
  <si>
    <t>Se escoge el mayor rendimiento entre los totales del rendimiento de mano de obra y equipos y herramientas</t>
  </si>
  <si>
    <t>Trabajo 
(h-H)</t>
  </si>
  <si>
    <t>Excavación a máquina con retroexcavadora</t>
  </si>
  <si>
    <t>Retroexcavadora</t>
  </si>
  <si>
    <t>Albañil</t>
  </si>
  <si>
    <t>Operador</t>
  </si>
  <si>
    <t>TRABAJO TOTAL</t>
  </si>
  <si>
    <t>TRABAJO</t>
  </si>
  <si>
    <t>Relleno compactado con material de mejoramiento cribado</t>
  </si>
  <si>
    <t>Plancha vibratoria</t>
  </si>
  <si>
    <t>Mejoramiento cribado</t>
  </si>
  <si>
    <t>la cantidad del presupuesto multiplicado por la cantidad de cada material</t>
  </si>
  <si>
    <t>Unidades de Recurso Calculado</t>
  </si>
  <si>
    <t>Unidades de Recurso Asumido</t>
  </si>
  <si>
    <t>UNIDADES DE RECURSOS ASUMIDOS TOTALES</t>
  </si>
  <si>
    <t>Mampostería de bloque e=15cm</t>
  </si>
  <si>
    <t>Transporte de materiales hasta 6 km, incluye pago en escombrera</t>
  </si>
  <si>
    <t>m2</t>
  </si>
  <si>
    <t>Bloque de 40 × 20 × 15 cm</t>
  </si>
  <si>
    <t>u</t>
  </si>
  <si>
    <t>Mortero de cemento 1:3</t>
  </si>
  <si>
    <t>Agua</t>
  </si>
  <si>
    <t>Pago por concepto de disposición de materiales en escombrera</t>
  </si>
  <si>
    <t>Cemento</t>
  </si>
  <si>
    <t>Arena</t>
  </si>
  <si>
    <t>saco</t>
  </si>
  <si>
    <t>l</t>
  </si>
  <si>
    <t>Debe verificarse que este valor sea igual al que está en el precio unitario principal</t>
  </si>
  <si>
    <t>Volqueta 8m3</t>
  </si>
  <si>
    <t>Chofer de volqueta</t>
  </si>
  <si>
    <t>Duración
(horas)</t>
  </si>
  <si>
    <t>EQUIPO / HERRAMIENTA</t>
  </si>
  <si>
    <t>Rendimiento Unitario Total
(h/u)</t>
  </si>
  <si>
    <t>Trabajo 
(h-EH)</t>
  </si>
  <si>
    <t>Producción Total
(u/h)</t>
  </si>
  <si>
    <t>Numero de Hombres en Cuadrilla
(H)</t>
  </si>
  <si>
    <t>Productividad
(u/h-H)</t>
  </si>
  <si>
    <t>Rendimiento Global Actividad
(h-H/u)</t>
  </si>
  <si>
    <t>Nota:</t>
  </si>
  <si>
    <t>Columna JORNADA LABORAL se elimina y se le coloca en un sitio específico en el formulario de GIPROY</t>
  </si>
  <si>
    <t>Columna FACTOR DE CONVERSION se elimina y se le coloca en un sitio específico en el formulario de GIPROY</t>
  </si>
  <si>
    <t>Si los APUS sólo tienen material o transporte, con lo cual no existiría un tiempo y por lo tanto carecería de un cálculo de duración para exportación a project, el resultado de los días y todo lo que ello conlleva debe tener valor CERO y con este valor de tiempo, exportar a project, verificando que los recursos respectivos si se carguen allá.</t>
  </si>
  <si>
    <t>Se escoge el mayor rendimiento de entre los rendimientos de mano de obra y equipos y herramientas. Se prioriza el rendimiento de mano de obra siempre como canidato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</si>
</sst>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7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/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0" fontId="0" fillId="0" borderId="0" xfId="1" applyNumberFormat="1" applyFont="1"/>
    <xf numFmtId="2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3" borderId="0" xfId="0" applyFont="1" applyFill="1"/>
    <xf numFmtId="2" fontId="2" fillId="3" borderId="0" xfId="0" applyNumberFormat="1" applyFont="1" applyFill="1"/>
    <xf numFmtId="2" fontId="2" fillId="3" borderId="0" xfId="0" applyNumberFormat="1" applyFont="1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2" fontId="0" fillId="3" borderId="0" xfId="0" applyNumberFormat="1" applyFill="1" applyAlignment="1">
      <alignment horizontal="center"/>
    </xf>
    <xf numFmtId="10" fontId="0" fillId="3" borderId="0" xfId="1" applyNumberFormat="1" applyFont="1" applyFill="1"/>
    <xf numFmtId="0" fontId="0" fillId="3" borderId="0" xfId="0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 vertical="center"/>
    </xf>
    <xf numFmtId="10" fontId="0" fillId="0" borderId="0" xfId="1" applyNumberFormat="1" applyFont="1" applyFill="1"/>
    <xf numFmtId="0" fontId="0" fillId="0" borderId="0" xfId="0" applyAlignment="1">
      <alignment vertical="center"/>
    </xf>
    <xf numFmtId="10" fontId="0" fillId="0" borderId="0" xfId="1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3" borderId="0" xfId="1" applyNumberFormat="1" applyFont="1" applyFill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10" fontId="2" fillId="2" borderId="0" xfId="1" applyNumberFormat="1" applyFont="1" applyFill="1" applyAlignment="1">
      <alignment horizontal="center" vertical="center"/>
    </xf>
    <xf numFmtId="164" fontId="0" fillId="0" borderId="0" xfId="0" applyNumberFormat="1"/>
    <xf numFmtId="49" fontId="3" fillId="0" borderId="1" xfId="0" applyNumberFormat="1" applyFont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2" fillId="4" borderId="0" xfId="0" applyNumberFormat="1" applyFont="1" applyFill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left" vertical="center"/>
    </xf>
    <xf numFmtId="165" fontId="0" fillId="4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1" xfId="0" applyNumberFormat="1" applyBorder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Font="1"/>
  </cellXfs>
  <cellStyles count="3">
    <cellStyle name="Normal" xfId="0" builtinId="0"/>
    <cellStyle name="Normal 2" xfId="2" xr:uid="{C7276F1A-E636-4E7C-ABFA-D1389FE929C6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C685-514C-40C4-B218-E7FA3521E151}">
  <dimension ref="A1:W14"/>
  <sheetViews>
    <sheetView workbookViewId="0">
      <selection activeCell="B19" sqref="B19"/>
    </sheetView>
  </sheetViews>
  <sheetFormatPr baseColWidth="10" defaultRowHeight="14.5" x14ac:dyDescent="0.35"/>
  <cols>
    <col min="2" max="2" width="56.08984375" bestFit="1" customWidth="1"/>
    <col min="9" max="23" width="13.6328125" customWidth="1"/>
  </cols>
  <sheetData>
    <row r="1" spans="1:23" x14ac:dyDescent="0.35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</row>
    <row r="2" spans="1:23" ht="15" customHeight="1" x14ac:dyDescent="0.35">
      <c r="A2" s="67" t="s">
        <v>33</v>
      </c>
      <c r="B2" s="67" t="s">
        <v>34</v>
      </c>
      <c r="C2" s="67" t="s">
        <v>35</v>
      </c>
      <c r="D2" s="67" t="s">
        <v>36</v>
      </c>
      <c r="E2" s="67" t="s">
        <v>37</v>
      </c>
      <c r="F2" s="67"/>
      <c r="G2" s="67"/>
      <c r="H2" s="67" t="s">
        <v>38</v>
      </c>
      <c r="I2" s="69" t="s">
        <v>77</v>
      </c>
      <c r="J2" s="70"/>
      <c r="K2" s="71" t="s">
        <v>16</v>
      </c>
      <c r="L2" s="72"/>
      <c r="M2" s="72"/>
      <c r="N2" s="72"/>
      <c r="O2" s="72"/>
      <c r="P2" s="73"/>
      <c r="Q2" s="68" t="s">
        <v>52</v>
      </c>
      <c r="R2" s="68" t="s">
        <v>60</v>
      </c>
      <c r="S2" s="68" t="s">
        <v>76</v>
      </c>
      <c r="T2" s="67" t="s">
        <v>39</v>
      </c>
      <c r="U2" s="67" t="s">
        <v>40</v>
      </c>
      <c r="V2" s="67" t="s">
        <v>41</v>
      </c>
      <c r="W2" s="67" t="s">
        <v>42</v>
      </c>
    </row>
    <row r="3" spans="1:23" ht="58" x14ac:dyDescent="0.35">
      <c r="A3" s="67"/>
      <c r="B3" s="67"/>
      <c r="C3" s="67"/>
      <c r="D3" s="67"/>
      <c r="E3" s="24" t="s">
        <v>43</v>
      </c>
      <c r="F3" s="24" t="s">
        <v>44</v>
      </c>
      <c r="G3" s="24" t="s">
        <v>45</v>
      </c>
      <c r="H3" s="67"/>
      <c r="I3" s="24" t="s">
        <v>78</v>
      </c>
      <c r="J3" s="24" t="s">
        <v>79</v>
      </c>
      <c r="K3" s="59" t="s">
        <v>78</v>
      </c>
      <c r="L3" s="61" t="s">
        <v>80</v>
      </c>
      <c r="M3" s="61" t="s">
        <v>81</v>
      </c>
      <c r="N3" s="61" t="s">
        <v>82</v>
      </c>
      <c r="O3" s="61" t="s">
        <v>83</v>
      </c>
      <c r="P3" s="59" t="s">
        <v>47</v>
      </c>
      <c r="Q3" s="68"/>
      <c r="R3" s="68"/>
      <c r="S3" s="68"/>
      <c r="T3" s="67"/>
      <c r="U3" s="67"/>
      <c r="V3" s="67"/>
      <c r="W3" s="67"/>
    </row>
    <row r="4" spans="1:23" x14ac:dyDescent="0.35">
      <c r="A4" s="25">
        <v>1</v>
      </c>
      <c r="B4" s="60" t="str">
        <f>+'1'!$B$1</f>
        <v>Excavación manual, zanja 0-2 m, material sin clasificar</v>
      </c>
      <c r="C4" s="25" t="str">
        <f>+'1'!$I$1</f>
        <v>m3</v>
      </c>
      <c r="D4" s="25">
        <v>1.55</v>
      </c>
      <c r="E4" s="26">
        <f>+'1'!$G$35</f>
        <v>8.94</v>
      </c>
      <c r="F4" s="26">
        <f>+'1'!$G$36</f>
        <v>1.07</v>
      </c>
      <c r="G4" s="26">
        <f>+E4+F4</f>
        <v>10.01</v>
      </c>
      <c r="H4" s="26">
        <f>+D4*G4</f>
        <v>15.515499999999999</v>
      </c>
      <c r="I4" s="27">
        <f>+'1'!$F$10</f>
        <v>0</v>
      </c>
      <c r="J4" s="26">
        <f>ROUND('1'!$I$10*Hoja1!D4,2)</f>
        <v>3.1</v>
      </c>
      <c r="K4" s="53">
        <f>+'1'!F26</f>
        <v>0</v>
      </c>
      <c r="L4" s="62" t="e">
        <f>1/K4</f>
        <v>#DIV/0!</v>
      </c>
      <c r="M4" s="63">
        <f>+'1'!$D$26</f>
        <v>2</v>
      </c>
      <c r="N4" s="62" t="e">
        <f>+L4/M4</f>
        <v>#DIV/0!</v>
      </c>
      <c r="O4" s="62" t="e">
        <f>1/N4</f>
        <v>#DIV/0!</v>
      </c>
      <c r="P4" s="29">
        <f>ROUND('1'!$I$26*Hoja1!D4,2)</f>
        <v>3.41</v>
      </c>
      <c r="Q4" s="31">
        <f>+J4+P4</f>
        <v>6.51</v>
      </c>
      <c r="R4" s="32" t="e">
        <f>+'1'!#REF!+'1'!#REF!</f>
        <v>#REF!</v>
      </c>
      <c r="S4" s="32" t="e">
        <f>+Q4/R4</f>
        <v>#REF!</v>
      </c>
      <c r="T4" s="25">
        <v>8</v>
      </c>
      <c r="U4" s="27" t="e">
        <f>ROUND(S4/T4,3)</f>
        <v>#REF!</v>
      </c>
      <c r="V4" s="25">
        <f>ROUND(30/22,2)</f>
        <v>1.36</v>
      </c>
      <c r="W4" s="25" t="e">
        <f>+U4*V4</f>
        <v>#REF!</v>
      </c>
    </row>
    <row r="5" spans="1:23" x14ac:dyDescent="0.35">
      <c r="A5" s="25">
        <v>2</v>
      </c>
      <c r="B5" s="60" t="str">
        <f>+'2'!$B$1</f>
        <v>Excavación a máquina con retroexcavadora</v>
      </c>
      <c r="C5" s="25" t="str">
        <f>+'2'!$I$1</f>
        <v>m3</v>
      </c>
      <c r="D5" s="25">
        <v>2.5499999999999998</v>
      </c>
      <c r="E5" s="26">
        <f>+'2'!$G$35</f>
        <v>1.44</v>
      </c>
      <c r="F5" s="26">
        <f>+'2'!$G$36</f>
        <v>0.17</v>
      </c>
      <c r="G5" s="26">
        <f>+E5+F5</f>
        <v>1.6099999999999999</v>
      </c>
      <c r="H5" s="26">
        <f>+D5*G5</f>
        <v>4.1054999999999993</v>
      </c>
      <c r="I5" s="27">
        <f>+'2'!$F$10</f>
        <v>0</v>
      </c>
      <c r="J5" s="26">
        <f>ROUND('2'!$I$10*Hoja1!D5,2)</f>
        <v>0.1</v>
      </c>
      <c r="K5" s="53">
        <f>+'2'!F26</f>
        <v>0</v>
      </c>
      <c r="L5" s="62" t="e">
        <f t="shared" ref="L5:L8" si="0">1/K5</f>
        <v>#DIV/0!</v>
      </c>
      <c r="M5" s="63">
        <f>+'2'!$D$26</f>
        <v>5</v>
      </c>
      <c r="N5" s="62" t="e">
        <f t="shared" ref="N5:N8" si="1">+L5/M5</f>
        <v>#DIV/0!</v>
      </c>
      <c r="O5" s="62" t="e">
        <f t="shared" ref="O5:O8" si="2">1/N5</f>
        <v>#DIV/0!</v>
      </c>
      <c r="P5" s="29">
        <f>ROUND('2'!$I$26*Hoja1!D5,2)</f>
        <v>0.43</v>
      </c>
      <c r="Q5" s="32">
        <f>+J5+P5</f>
        <v>0.53</v>
      </c>
      <c r="R5" s="32" t="e">
        <f>+'2'!#REF!+'2'!#REF!</f>
        <v>#REF!</v>
      </c>
      <c r="S5" s="32" t="e">
        <f>+Q5/R5</f>
        <v>#REF!</v>
      </c>
      <c r="T5" s="25">
        <v>8</v>
      </c>
      <c r="U5" s="27" t="e">
        <f>ROUND(S5/T5,3)</f>
        <v>#REF!</v>
      </c>
      <c r="V5" s="25">
        <f>ROUND(30/22,2)</f>
        <v>1.36</v>
      </c>
      <c r="W5" s="25" t="e">
        <f>+U5*V5</f>
        <v>#REF!</v>
      </c>
    </row>
    <row r="6" spans="1:23" x14ac:dyDescent="0.35">
      <c r="A6" s="25">
        <v>3</v>
      </c>
      <c r="B6" s="60" t="str">
        <f>+'3'!$B$1</f>
        <v>Relleno compactado con material de mejoramiento cribado</v>
      </c>
      <c r="C6" s="25" t="str">
        <f>+'3'!$I$1</f>
        <v>m3</v>
      </c>
      <c r="D6" s="25">
        <v>7.89</v>
      </c>
      <c r="E6" s="26">
        <f>+'3'!$G$35</f>
        <v>25.35</v>
      </c>
      <c r="F6" s="26">
        <f>+'3'!$G$36</f>
        <v>3.04</v>
      </c>
      <c r="G6" s="26">
        <f>+E6+F6</f>
        <v>28.39</v>
      </c>
      <c r="H6" s="26">
        <f>+D6*G6</f>
        <v>223.99709999999999</v>
      </c>
      <c r="I6" s="27">
        <f>+'3'!$F$10</f>
        <v>0</v>
      </c>
      <c r="J6" s="26">
        <f>ROUND('3'!$I$10*Hoja1!D6,2)</f>
        <v>9.4700000000000006</v>
      </c>
      <c r="K6" s="53">
        <f>+'3'!$F$26</f>
        <v>0</v>
      </c>
      <c r="L6" s="62" t="e">
        <f t="shared" si="0"/>
        <v>#DIV/0!</v>
      </c>
      <c r="M6" s="63">
        <f>+'3'!$D$26</f>
        <v>3</v>
      </c>
      <c r="N6" s="62" t="e">
        <f t="shared" si="1"/>
        <v>#DIV/0!</v>
      </c>
      <c r="O6" s="62" t="e">
        <f t="shared" si="2"/>
        <v>#DIV/0!</v>
      </c>
      <c r="P6" s="29">
        <f>ROUND('3'!$I$26*Hoja1!D6,2)</f>
        <v>10.41</v>
      </c>
      <c r="Q6" s="32">
        <f>+J6+P6</f>
        <v>19.880000000000003</v>
      </c>
      <c r="R6" s="32" t="e">
        <f>+'3'!#REF!+'3'!#REF!</f>
        <v>#REF!</v>
      </c>
      <c r="S6" s="32" t="e">
        <f>+Q6/R6</f>
        <v>#REF!</v>
      </c>
      <c r="T6" s="25">
        <v>8</v>
      </c>
      <c r="U6" s="27" t="e">
        <f>ROUND(S6/T6,3)</f>
        <v>#REF!</v>
      </c>
      <c r="V6" s="25">
        <f>ROUND(30/22,2)</f>
        <v>1.36</v>
      </c>
      <c r="W6" s="25" t="e">
        <f>+U6*V6</f>
        <v>#REF!</v>
      </c>
    </row>
    <row r="7" spans="1:23" x14ac:dyDescent="0.35">
      <c r="A7" s="25">
        <v>4</v>
      </c>
      <c r="B7" s="60" t="s">
        <v>61</v>
      </c>
      <c r="C7" s="46" t="s">
        <v>63</v>
      </c>
      <c r="D7" s="25">
        <v>101.75</v>
      </c>
      <c r="E7" s="56">
        <f>+'4(APU unificado)'!G35</f>
        <v>14.280574</v>
      </c>
      <c r="F7" s="52">
        <f>+'4(APU unificado)'!G36</f>
        <v>1.71</v>
      </c>
      <c r="G7" s="26">
        <f>+E7+F7</f>
        <v>15.990573999999999</v>
      </c>
      <c r="H7" s="26">
        <f>+D7*G7</f>
        <v>1627.0409044999999</v>
      </c>
      <c r="I7" s="27">
        <f>+'4(APU unificado)'!F9</f>
        <v>0</v>
      </c>
      <c r="J7" s="52">
        <f>ROUND('4(APU unificado)'!I9*Hoja1!D7,2)</f>
        <v>64.709999999999994</v>
      </c>
      <c r="K7" s="53">
        <f>+'4(APU unificado)'!F26</f>
        <v>0</v>
      </c>
      <c r="L7" s="62" t="e">
        <f t="shared" si="0"/>
        <v>#DIV/0!</v>
      </c>
      <c r="M7" s="63">
        <f>+'4(APU unificado)'!D26</f>
        <v>3</v>
      </c>
      <c r="N7" s="62" t="e">
        <f t="shared" si="1"/>
        <v>#DIV/0!</v>
      </c>
      <c r="O7" s="62" t="e">
        <f t="shared" si="2"/>
        <v>#DIV/0!</v>
      </c>
      <c r="P7" s="29">
        <f>ROUND('4(APU unificado)'!I26*Hoja1!D7,2)</f>
        <v>140.41999999999999</v>
      </c>
      <c r="Q7" s="32">
        <f>+J7+P7</f>
        <v>205.13</v>
      </c>
      <c r="R7" s="32" t="e">
        <f>+'4(APU unificado)'!#REF!+'4(APU unificado)'!#REF!</f>
        <v>#REF!</v>
      </c>
      <c r="S7" s="32" t="e">
        <f>+Q7/R7</f>
        <v>#REF!</v>
      </c>
      <c r="T7" s="25">
        <v>8</v>
      </c>
      <c r="U7" s="27" t="e">
        <f>ROUND(S7/T7,3)</f>
        <v>#REF!</v>
      </c>
      <c r="V7" s="25">
        <f>ROUND(30/22,2)</f>
        <v>1.36</v>
      </c>
      <c r="W7" s="25" t="e">
        <f>+U7*V7</f>
        <v>#REF!</v>
      </c>
    </row>
    <row r="8" spans="1:23" x14ac:dyDescent="0.35">
      <c r="A8" s="25">
        <v>5</v>
      </c>
      <c r="B8" s="60" t="s">
        <v>62</v>
      </c>
      <c r="C8" s="46" t="s">
        <v>4</v>
      </c>
      <c r="D8" s="25">
        <v>1003.64</v>
      </c>
      <c r="E8" s="26">
        <f>+'5'!G35</f>
        <v>0.9</v>
      </c>
      <c r="F8" s="25">
        <f>+'5'!G36</f>
        <v>0.11</v>
      </c>
      <c r="G8" s="26">
        <f>+E8+F8</f>
        <v>1.01</v>
      </c>
      <c r="H8" s="26">
        <f>+D8*G8</f>
        <v>1013.6763999999999</v>
      </c>
      <c r="I8" s="27">
        <f>+'5'!$F$10</f>
        <v>0.02</v>
      </c>
      <c r="J8" s="26">
        <f>ROUND('5'!$I$10*Hoja1!D8,2)</f>
        <v>20.07</v>
      </c>
      <c r="K8" s="53">
        <f>+'5'!$F$26</f>
        <v>0.02</v>
      </c>
      <c r="L8" s="62">
        <f t="shared" si="0"/>
        <v>50</v>
      </c>
      <c r="M8" s="63">
        <f>+'5'!$D$26</f>
        <v>1</v>
      </c>
      <c r="N8" s="62">
        <f t="shared" si="1"/>
        <v>50</v>
      </c>
      <c r="O8" s="62">
        <f t="shared" si="2"/>
        <v>0.02</v>
      </c>
      <c r="P8" s="29">
        <f>ROUND('5'!$I$26*Hoja1!D8,2)</f>
        <v>20.07</v>
      </c>
      <c r="Q8" s="32">
        <f>+J8+P8</f>
        <v>40.14</v>
      </c>
      <c r="R8" s="32">
        <f>+'5'!$L$10+'5'!$L$26</f>
        <v>2</v>
      </c>
      <c r="S8" s="32">
        <f>+Q8/R8</f>
        <v>20.07</v>
      </c>
      <c r="T8" s="25">
        <v>8</v>
      </c>
      <c r="U8" s="27">
        <f>ROUND(S8/T8,3)</f>
        <v>2.5089999999999999</v>
      </c>
      <c r="V8" s="25">
        <f>ROUND(30/22,2)</f>
        <v>1.36</v>
      </c>
      <c r="W8" s="25">
        <f>+U8*V8</f>
        <v>3.4122400000000002</v>
      </c>
    </row>
    <row r="10" spans="1:23" ht="21" x14ac:dyDescent="0.5">
      <c r="A10" s="65" t="s">
        <v>84</v>
      </c>
    </row>
    <row r="12" spans="1:23" ht="18.5" x14ac:dyDescent="0.45">
      <c r="A12" s="64" t="s">
        <v>85</v>
      </c>
      <c r="Q12" s="6"/>
    </row>
    <row r="13" spans="1:23" ht="18.5" x14ac:dyDescent="0.45">
      <c r="A13" s="64" t="s">
        <v>86</v>
      </c>
      <c r="H13" s="6"/>
    </row>
    <row r="14" spans="1:23" ht="18.5" x14ac:dyDescent="0.45">
      <c r="A14" s="64" t="s">
        <v>87</v>
      </c>
    </row>
  </sheetData>
  <mergeCells count="16">
    <mergeCell ref="A1:W1"/>
    <mergeCell ref="A2:A3"/>
    <mergeCell ref="B2:B3"/>
    <mergeCell ref="C2:C3"/>
    <mergeCell ref="D2:D3"/>
    <mergeCell ref="E2:G2"/>
    <mergeCell ref="H2:H3"/>
    <mergeCell ref="T2:T3"/>
    <mergeCell ref="U2:U3"/>
    <mergeCell ref="V2:V3"/>
    <mergeCell ref="Q2:Q3"/>
    <mergeCell ref="R2:R3"/>
    <mergeCell ref="S2:S3"/>
    <mergeCell ref="W2:W3"/>
    <mergeCell ref="I2:J2"/>
    <mergeCell ref="K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5AF6-E4E0-4A39-91E7-BE97C938CBB5}">
  <dimension ref="A1:M37"/>
  <sheetViews>
    <sheetView workbookViewId="0">
      <selection activeCell="O15" sqref="O15"/>
    </sheetView>
  </sheetViews>
  <sheetFormatPr baseColWidth="10" defaultRowHeight="14.5" x14ac:dyDescent="0.35"/>
  <cols>
    <col min="1" max="1" width="14.1796875" bestFit="1" customWidth="1"/>
    <col min="2" max="2" width="18.81640625" customWidth="1"/>
    <col min="5" max="5" width="21" bestFit="1" customWidth="1"/>
    <col min="6" max="6" width="13.54296875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1</v>
      </c>
      <c r="H1" s="4" t="s">
        <v>3</v>
      </c>
      <c r="I1" t="s">
        <v>4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18</v>
      </c>
      <c r="C7" s="3" t="s">
        <v>19</v>
      </c>
      <c r="D7" s="5">
        <v>1</v>
      </c>
      <c r="E7" s="5">
        <v>0.5</v>
      </c>
      <c r="F7" s="5">
        <v>2</v>
      </c>
      <c r="G7" s="5">
        <f>ROUND(D7*E7*F7,2)</f>
        <v>1</v>
      </c>
      <c r="H7" s="38">
        <f>+G7/$G$35</f>
        <v>0.11185682326621925</v>
      </c>
      <c r="I7" s="12">
        <f>+D7*F7</f>
        <v>2</v>
      </c>
    </row>
    <row r="8" spans="1:9" x14ac:dyDescent="0.35">
      <c r="D8" s="6"/>
      <c r="E8" s="6"/>
      <c r="F8" s="6"/>
      <c r="G8" s="9"/>
      <c r="H8" s="38"/>
      <c r="I8" s="11"/>
    </row>
    <row r="9" spans="1:9" x14ac:dyDescent="0.35">
      <c r="D9" s="6"/>
      <c r="E9" s="6"/>
      <c r="F9" s="6"/>
      <c r="G9" s="9"/>
      <c r="H9" s="38"/>
      <c r="I9" s="11"/>
    </row>
    <row r="10" spans="1:9" x14ac:dyDescent="0.35">
      <c r="B10" s="7" t="s">
        <v>22</v>
      </c>
      <c r="D10" s="6"/>
      <c r="F10" s="6"/>
      <c r="G10" s="10">
        <f>SUM(G7:G9)</f>
        <v>1</v>
      </c>
      <c r="H10" s="38">
        <f>+G10/$G$35</f>
        <v>0.11185682326621925</v>
      </c>
      <c r="I10" s="12">
        <f>SUM(I7:I9)</f>
        <v>2</v>
      </c>
    </row>
    <row r="11" spans="1:9" s="1" customFormat="1" x14ac:dyDescent="0.35">
      <c r="A11" s="16" t="s">
        <v>14</v>
      </c>
      <c r="B11" s="16"/>
      <c r="C11" s="16"/>
      <c r="D11" s="17"/>
      <c r="E11" s="17"/>
      <c r="F11" s="17"/>
      <c r="G11" s="18"/>
      <c r="H11" s="39"/>
      <c r="I11" s="16"/>
    </row>
    <row r="12" spans="1:9" x14ac:dyDescent="0.35">
      <c r="A12" s="19"/>
      <c r="B12" s="19"/>
      <c r="C12" s="19"/>
      <c r="D12" s="20"/>
      <c r="E12" s="20"/>
      <c r="F12" s="20"/>
      <c r="G12" s="21"/>
      <c r="H12" s="40"/>
      <c r="I12" s="19"/>
    </row>
    <row r="13" spans="1:9" x14ac:dyDescent="0.35">
      <c r="A13" s="19"/>
      <c r="B13" s="19"/>
      <c r="C13" s="19"/>
      <c r="D13" s="20"/>
      <c r="E13" s="20"/>
      <c r="F13" s="20"/>
      <c r="G13" s="21"/>
      <c r="H13" s="40"/>
      <c r="I13" s="19"/>
    </row>
    <row r="14" spans="1:9" x14ac:dyDescent="0.35">
      <c r="A14" s="19"/>
      <c r="B14" s="19"/>
      <c r="C14" s="19"/>
      <c r="D14" s="20"/>
      <c r="E14" s="20"/>
      <c r="F14" s="20"/>
      <c r="G14" s="21"/>
      <c r="H14" s="40"/>
      <c r="I14" s="19"/>
    </row>
    <row r="15" spans="1:9" x14ac:dyDescent="0.35">
      <c r="A15" s="19"/>
      <c r="B15" s="17" t="s">
        <v>23</v>
      </c>
      <c r="C15" s="19"/>
      <c r="D15" s="20"/>
      <c r="E15" s="20"/>
      <c r="F15" s="18"/>
      <c r="G15" s="18">
        <f>SUM(G12:G14)</f>
        <v>0</v>
      </c>
      <c r="H15" s="41">
        <f>+G15/$G$35</f>
        <v>0</v>
      </c>
      <c r="I15" s="22"/>
    </row>
    <row r="16" spans="1:9" s="1" customFormat="1" x14ac:dyDescent="0.35">
      <c r="A16" s="16" t="s">
        <v>15</v>
      </c>
      <c r="B16" s="16"/>
      <c r="C16" s="16"/>
      <c r="D16" s="17"/>
      <c r="E16" s="17"/>
      <c r="F16" s="17"/>
      <c r="G16" s="18"/>
      <c r="H16" s="39"/>
      <c r="I16" s="16"/>
    </row>
    <row r="17" spans="1:9" x14ac:dyDescent="0.35">
      <c r="A17" s="19"/>
      <c r="B17" s="19"/>
      <c r="C17" s="19"/>
      <c r="D17" s="20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20"/>
      <c r="E18" s="20"/>
      <c r="F18" s="20"/>
      <c r="G18" s="21"/>
      <c r="H18" s="40"/>
      <c r="I18" s="19"/>
    </row>
    <row r="19" spans="1:9" x14ac:dyDescent="0.35">
      <c r="A19" s="19"/>
      <c r="B19" s="19"/>
      <c r="C19" s="19"/>
      <c r="D19" s="20"/>
      <c r="E19" s="20"/>
      <c r="F19" s="20"/>
      <c r="G19" s="21"/>
      <c r="H19" s="40"/>
      <c r="I19" s="19"/>
    </row>
    <row r="20" spans="1:9" x14ac:dyDescent="0.3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1">
        <f>+G20/$G$35</f>
        <v>0</v>
      </c>
      <c r="I20" s="22"/>
    </row>
    <row r="21" spans="1:9" s="1" customFormat="1" x14ac:dyDescent="0.35">
      <c r="A21" s="1" t="s">
        <v>16</v>
      </c>
      <c r="D21" s="7"/>
      <c r="E21" s="7"/>
      <c r="F21" s="7"/>
      <c r="G21" s="10"/>
      <c r="H21" s="4"/>
    </row>
    <row r="22" spans="1:9" x14ac:dyDescent="0.35">
      <c r="B22" t="s">
        <v>20</v>
      </c>
      <c r="C22" s="3" t="s">
        <v>19</v>
      </c>
      <c r="D22" s="5">
        <v>1</v>
      </c>
      <c r="E22" s="5">
        <v>3.46</v>
      </c>
      <c r="F22" s="5">
        <v>2</v>
      </c>
      <c r="G22" s="5">
        <f t="shared" ref="G22:G23" si="0">ROUND(D22*E22*F22,2)</f>
        <v>6.92</v>
      </c>
      <c r="H22" s="38">
        <f>+G22/$G$35</f>
        <v>0.77404921700223717</v>
      </c>
      <c r="I22" s="34">
        <f>+D22*F22</f>
        <v>2</v>
      </c>
    </row>
    <row r="23" spans="1:9" x14ac:dyDescent="0.35">
      <c r="B23" t="s">
        <v>21</v>
      </c>
      <c r="C23" s="3" t="s">
        <v>19</v>
      </c>
      <c r="D23" s="5">
        <v>1</v>
      </c>
      <c r="E23" s="5">
        <v>5.1100000000000003</v>
      </c>
      <c r="F23" s="5">
        <v>0.2</v>
      </c>
      <c r="G23" s="5">
        <f t="shared" si="0"/>
        <v>1.02</v>
      </c>
      <c r="H23" s="38">
        <f>+G23/$G$35</f>
        <v>0.11409395973154363</v>
      </c>
      <c r="I23" s="34">
        <f t="shared" ref="I23" si="1">+D23*F23</f>
        <v>0.2</v>
      </c>
    </row>
    <row r="24" spans="1:9" x14ac:dyDescent="0.35">
      <c r="D24" s="6"/>
      <c r="E24" s="6"/>
      <c r="F24" s="6"/>
      <c r="G24" s="9"/>
    </row>
    <row r="25" spans="1:9" x14ac:dyDescent="0.35">
      <c r="D25" s="6"/>
      <c r="E25" s="6"/>
      <c r="F25" s="6"/>
      <c r="G25" s="9"/>
    </row>
    <row r="26" spans="1:9" x14ac:dyDescent="0.35">
      <c r="B26" s="7" t="s">
        <v>25</v>
      </c>
      <c r="D26" s="5">
        <f>SUM(D22:D25)</f>
        <v>2</v>
      </c>
      <c r="F26" s="6"/>
      <c r="G26" s="10">
        <f>SUM(G22:G25)</f>
        <v>7.9399999999999995</v>
      </c>
      <c r="H26" s="38">
        <f>+G26/$G$35</f>
        <v>0.88814317673378074</v>
      </c>
      <c r="I26" s="12">
        <f>SUM(I22:I25)</f>
        <v>2.2000000000000002</v>
      </c>
    </row>
    <row r="27" spans="1:9" s="1" customFormat="1" x14ac:dyDescent="0.35">
      <c r="A27" s="16" t="s">
        <v>17</v>
      </c>
      <c r="B27" s="16"/>
      <c r="C27" s="16"/>
      <c r="D27" s="17"/>
      <c r="E27" s="17"/>
      <c r="F27" s="17"/>
      <c r="G27" s="18"/>
      <c r="H27" s="39"/>
      <c r="I27" s="16"/>
    </row>
    <row r="28" spans="1:9" x14ac:dyDescent="0.35">
      <c r="A28" s="19"/>
      <c r="B28" s="19"/>
      <c r="C28" s="19"/>
      <c r="D28" s="20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20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20"/>
      <c r="E30" s="20"/>
      <c r="F30" s="20"/>
      <c r="G30" s="21"/>
      <c r="H30" s="40"/>
      <c r="I30" s="19"/>
    </row>
    <row r="31" spans="1:9" x14ac:dyDescent="0.35">
      <c r="A31" s="19"/>
      <c r="B31" s="19"/>
      <c r="C31" s="19"/>
      <c r="D31" s="19"/>
      <c r="E31" s="19"/>
      <c r="F31" s="19"/>
      <c r="G31" s="23"/>
      <c r="H31" s="40"/>
      <c r="I31" s="19"/>
    </row>
    <row r="32" spans="1:9" x14ac:dyDescent="0.3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1">
        <f>+G32/$G$35</f>
        <v>0</v>
      </c>
      <c r="I32" s="22"/>
    </row>
    <row r="34" spans="5:13" x14ac:dyDescent="0.35">
      <c r="E34" s="13" t="s">
        <v>31</v>
      </c>
      <c r="F34" s="35">
        <v>2</v>
      </c>
      <c r="G34" s="15" t="s">
        <v>88</v>
      </c>
      <c r="H34" s="14"/>
      <c r="I34" s="13"/>
      <c r="J34" s="28"/>
      <c r="K34" s="28"/>
      <c r="L34" s="28"/>
      <c r="M34" s="28"/>
    </row>
    <row r="35" spans="5:13" x14ac:dyDescent="0.35">
      <c r="E35" s="1" t="s">
        <v>27</v>
      </c>
      <c r="G35" s="10">
        <f>+G10+G15+G20+G26+G32</f>
        <v>8.94</v>
      </c>
    </row>
    <row r="36" spans="5:13" x14ac:dyDescent="0.35">
      <c r="E36" s="1" t="s">
        <v>28</v>
      </c>
      <c r="G36" s="8">
        <f>+ROUND(0.12*G35,2)</f>
        <v>1.07</v>
      </c>
    </row>
    <row r="37" spans="5:13" x14ac:dyDescent="0.35">
      <c r="E37" s="1" t="s">
        <v>29</v>
      </c>
      <c r="G37" s="10">
        <f>+G35+G36</f>
        <v>10.01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FE32-17C5-4101-AEC4-9DA3A29D6889}">
  <dimension ref="A1:M37"/>
  <sheetViews>
    <sheetView workbookViewId="0">
      <selection activeCell="O14" sqref="O14"/>
    </sheetView>
  </sheetViews>
  <sheetFormatPr baseColWidth="10" defaultRowHeight="14.5" x14ac:dyDescent="0.35"/>
  <cols>
    <col min="1" max="1" width="14.1796875" bestFit="1" customWidth="1"/>
    <col min="2" max="2" width="18.81640625" customWidth="1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48</v>
      </c>
      <c r="H1" s="4" t="s">
        <v>3</v>
      </c>
      <c r="I1" t="s">
        <v>4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49</v>
      </c>
      <c r="C7" s="3" t="s">
        <v>19</v>
      </c>
      <c r="D7" s="5">
        <v>1</v>
      </c>
      <c r="E7" s="5">
        <v>20</v>
      </c>
      <c r="F7" s="30">
        <v>3.85E-2</v>
      </c>
      <c r="G7" s="5">
        <f>ROUND(D7*E7*F7,2)</f>
        <v>0.77</v>
      </c>
      <c r="H7" s="38">
        <f>+G7/$G$35</f>
        <v>0.53472222222222221</v>
      </c>
      <c r="I7" s="12">
        <f>+D7*F7</f>
        <v>3.85E-2</v>
      </c>
    </row>
    <row r="8" spans="1:9" x14ac:dyDescent="0.35">
      <c r="D8" s="6"/>
      <c r="E8" s="6"/>
      <c r="F8" s="6"/>
      <c r="G8" s="9"/>
      <c r="H8" s="38"/>
      <c r="I8" s="11"/>
    </row>
    <row r="9" spans="1:9" x14ac:dyDescent="0.35">
      <c r="D9" s="6"/>
      <c r="E9" s="6"/>
      <c r="F9" s="6"/>
      <c r="G9" s="9"/>
      <c r="H9" s="38"/>
      <c r="I9" s="11"/>
    </row>
    <row r="10" spans="1:9" x14ac:dyDescent="0.35">
      <c r="B10" s="7" t="s">
        <v>22</v>
      </c>
      <c r="D10" s="6"/>
      <c r="F10" s="6"/>
      <c r="G10" s="10">
        <f>SUM(G7:G9)</f>
        <v>0.77</v>
      </c>
      <c r="H10" s="38">
        <f>+G10/$G$35</f>
        <v>0.53472222222222221</v>
      </c>
      <c r="I10" s="12">
        <f>SUM(I7:I9)</f>
        <v>3.85E-2</v>
      </c>
    </row>
    <row r="11" spans="1:9" s="1" customFormat="1" x14ac:dyDescent="0.35">
      <c r="A11" s="16" t="s">
        <v>14</v>
      </c>
      <c r="B11" s="16"/>
      <c r="C11" s="16"/>
      <c r="D11" s="17"/>
      <c r="E11" s="17"/>
      <c r="F11" s="17"/>
      <c r="G11" s="18"/>
      <c r="H11" s="39"/>
      <c r="I11" s="16"/>
    </row>
    <row r="12" spans="1:9" x14ac:dyDescent="0.35">
      <c r="A12" s="19"/>
      <c r="B12" s="19"/>
      <c r="C12" s="19"/>
      <c r="D12" s="20"/>
      <c r="E12" s="20"/>
      <c r="F12" s="20"/>
      <c r="G12" s="21"/>
      <c r="H12" s="40"/>
      <c r="I12" s="19"/>
    </row>
    <row r="13" spans="1:9" x14ac:dyDescent="0.35">
      <c r="A13" s="19"/>
      <c r="B13" s="19"/>
      <c r="C13" s="19"/>
      <c r="D13" s="20"/>
      <c r="E13" s="20"/>
      <c r="F13" s="20"/>
      <c r="G13" s="21"/>
      <c r="H13" s="40"/>
      <c r="I13" s="19"/>
    </row>
    <row r="14" spans="1:9" x14ac:dyDescent="0.35">
      <c r="A14" s="19"/>
      <c r="B14" s="19"/>
      <c r="C14" s="19"/>
      <c r="D14" s="20"/>
      <c r="E14" s="20"/>
      <c r="F14" s="20"/>
      <c r="G14" s="21"/>
      <c r="H14" s="40"/>
      <c r="I14" s="19"/>
    </row>
    <row r="15" spans="1:9" x14ac:dyDescent="0.35">
      <c r="A15" s="19"/>
      <c r="B15" s="17" t="s">
        <v>23</v>
      </c>
      <c r="C15" s="19"/>
      <c r="D15" s="20"/>
      <c r="E15" s="20"/>
      <c r="F15" s="18"/>
      <c r="G15" s="18">
        <f>SUM(G12:G14)</f>
        <v>0</v>
      </c>
      <c r="H15" s="41">
        <f>+G15/$G$35</f>
        <v>0</v>
      </c>
      <c r="I15" s="22"/>
    </row>
    <row r="16" spans="1:9" s="1" customFormat="1" x14ac:dyDescent="0.35">
      <c r="A16" s="16" t="s">
        <v>15</v>
      </c>
      <c r="B16" s="16"/>
      <c r="C16" s="16"/>
      <c r="D16" s="17"/>
      <c r="E16" s="20"/>
      <c r="F16" s="17"/>
      <c r="G16" s="18"/>
      <c r="H16" s="39"/>
      <c r="I16" s="16"/>
    </row>
    <row r="17" spans="1:9" x14ac:dyDescent="0.35">
      <c r="A17" s="19"/>
      <c r="B17" s="19"/>
      <c r="C17" s="19"/>
      <c r="D17" s="20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20"/>
      <c r="E18" s="20"/>
      <c r="F18" s="20"/>
      <c r="G18" s="21"/>
      <c r="H18" s="40"/>
      <c r="I18" s="19"/>
    </row>
    <row r="19" spans="1:9" x14ac:dyDescent="0.35">
      <c r="A19" s="19"/>
      <c r="B19" s="19"/>
      <c r="C19" s="19"/>
      <c r="D19" s="20"/>
      <c r="E19" s="20"/>
      <c r="F19" s="20"/>
      <c r="G19" s="21"/>
      <c r="H19" s="40"/>
      <c r="I19" s="19"/>
    </row>
    <row r="20" spans="1:9" x14ac:dyDescent="0.3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1">
        <f>+G20/$G$35</f>
        <v>0</v>
      </c>
      <c r="I20" s="22"/>
    </row>
    <row r="21" spans="1:9" s="1" customFormat="1" x14ac:dyDescent="0.35">
      <c r="A21" s="1" t="s">
        <v>16</v>
      </c>
      <c r="D21" s="7"/>
      <c r="E21" s="7"/>
      <c r="F21" s="7"/>
      <c r="G21" s="10"/>
      <c r="H21" s="4"/>
    </row>
    <row r="22" spans="1:9" x14ac:dyDescent="0.35">
      <c r="B22" t="s">
        <v>20</v>
      </c>
      <c r="C22" s="3" t="s">
        <v>19</v>
      </c>
      <c r="D22" s="5">
        <v>2</v>
      </c>
      <c r="E22" s="5">
        <v>3.46</v>
      </c>
      <c r="F22" s="30">
        <v>3.85E-2</v>
      </c>
      <c r="G22" s="5">
        <f t="shared" ref="G22:G25" si="0">ROUND(D22*E22*F22,2)</f>
        <v>0.27</v>
      </c>
      <c r="H22" s="38">
        <f>+G22/$G$35</f>
        <v>0.18750000000000003</v>
      </c>
      <c r="I22" s="34">
        <f>+D22*F22</f>
        <v>7.6999999999999999E-2</v>
      </c>
    </row>
    <row r="23" spans="1:9" x14ac:dyDescent="0.35">
      <c r="B23" t="s">
        <v>50</v>
      </c>
      <c r="C23" s="3" t="s">
        <v>19</v>
      </c>
      <c r="D23" s="5">
        <v>1</v>
      </c>
      <c r="E23" s="5">
        <v>4.29</v>
      </c>
      <c r="F23" s="30">
        <v>3.85E-2</v>
      </c>
      <c r="G23" s="5">
        <f t="shared" si="0"/>
        <v>0.17</v>
      </c>
      <c r="H23" s="38">
        <f t="shared" ref="H23:H24" si="1">+G23/$G$35</f>
        <v>0.11805555555555557</v>
      </c>
      <c r="I23" s="34">
        <f t="shared" ref="I23:I25" si="2">+D23*F23</f>
        <v>3.85E-2</v>
      </c>
    </row>
    <row r="24" spans="1:9" x14ac:dyDescent="0.35">
      <c r="B24" t="s">
        <v>51</v>
      </c>
      <c r="C24" s="3" t="s">
        <v>19</v>
      </c>
      <c r="D24" s="5">
        <v>1</v>
      </c>
      <c r="E24" s="5">
        <v>3.82</v>
      </c>
      <c r="F24" s="30">
        <v>3.85E-2</v>
      </c>
      <c r="G24" s="5">
        <f t="shared" si="0"/>
        <v>0.15</v>
      </c>
      <c r="H24" s="38">
        <f t="shared" si="1"/>
        <v>0.10416666666666667</v>
      </c>
      <c r="I24" s="34">
        <f t="shared" si="2"/>
        <v>3.85E-2</v>
      </c>
    </row>
    <row r="25" spans="1:9" x14ac:dyDescent="0.35">
      <c r="B25" t="s">
        <v>21</v>
      </c>
      <c r="C25" s="3" t="s">
        <v>19</v>
      </c>
      <c r="D25" s="5">
        <v>1</v>
      </c>
      <c r="E25" s="5">
        <v>5.1100000000000003</v>
      </c>
      <c r="F25" s="30">
        <v>1.54E-2</v>
      </c>
      <c r="G25" s="5">
        <f t="shared" si="0"/>
        <v>0.08</v>
      </c>
      <c r="H25" s="38">
        <f>+G25/$G$35</f>
        <v>5.5555555555555559E-2</v>
      </c>
      <c r="I25" s="34">
        <f t="shared" si="2"/>
        <v>1.54E-2</v>
      </c>
    </row>
    <row r="26" spans="1:9" x14ac:dyDescent="0.35">
      <c r="B26" s="7" t="s">
        <v>25</v>
      </c>
      <c r="D26" s="5">
        <f>SUM(D22:D25)</f>
        <v>5</v>
      </c>
      <c r="G26" s="10">
        <f>SUM(G22:G25)</f>
        <v>0.67</v>
      </c>
      <c r="H26" s="38">
        <f>+G26/$G$35</f>
        <v>0.46527777777777785</v>
      </c>
      <c r="I26" s="34">
        <f>SUM(I22:I25)</f>
        <v>0.1694</v>
      </c>
    </row>
    <row r="27" spans="1:9" s="1" customFormat="1" x14ac:dyDescent="0.35">
      <c r="A27" s="16" t="s">
        <v>17</v>
      </c>
      <c r="B27" s="16"/>
      <c r="C27" s="16"/>
      <c r="D27" s="17"/>
      <c r="E27" s="17"/>
      <c r="F27" s="17"/>
      <c r="G27" s="18"/>
      <c r="H27" s="39"/>
      <c r="I27" s="16"/>
    </row>
    <row r="28" spans="1:9" x14ac:dyDescent="0.35">
      <c r="A28" s="19"/>
      <c r="B28" s="19"/>
      <c r="C28" s="19"/>
      <c r="D28" s="20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20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20"/>
      <c r="E30" s="20"/>
      <c r="F30" s="20"/>
      <c r="G30" s="21"/>
      <c r="H30" s="40"/>
      <c r="I30" s="19"/>
    </row>
    <row r="31" spans="1:9" x14ac:dyDescent="0.35">
      <c r="A31" s="19"/>
      <c r="B31" s="19"/>
      <c r="C31" s="19"/>
      <c r="D31" s="19"/>
      <c r="E31" s="19"/>
      <c r="F31" s="19"/>
      <c r="G31" s="23"/>
      <c r="H31" s="40"/>
      <c r="I31" s="19"/>
    </row>
    <row r="32" spans="1:9" x14ac:dyDescent="0.3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1">
        <f>+G32/$G$35</f>
        <v>0</v>
      </c>
      <c r="I32" s="22"/>
    </row>
    <row r="34" spans="5:13" x14ac:dyDescent="0.35">
      <c r="E34" s="13" t="s">
        <v>31</v>
      </c>
      <c r="F34" s="75">
        <v>3.85E-2</v>
      </c>
      <c r="G34" s="15" t="s">
        <v>88</v>
      </c>
      <c r="H34" s="14"/>
      <c r="I34" s="13"/>
      <c r="J34" s="28"/>
      <c r="K34" s="28"/>
      <c r="L34" s="28"/>
      <c r="M34" s="28"/>
    </row>
    <row r="35" spans="5:13" x14ac:dyDescent="0.35">
      <c r="E35" s="1" t="s">
        <v>27</v>
      </c>
      <c r="G35" s="10">
        <f>+G10+G15+G20+G26+G32</f>
        <v>1.44</v>
      </c>
    </row>
    <row r="36" spans="5:13" x14ac:dyDescent="0.35">
      <c r="E36" s="1" t="s">
        <v>28</v>
      </c>
      <c r="G36" s="8">
        <f>+ROUND(0.12*G35,2)</f>
        <v>0.17</v>
      </c>
    </row>
    <row r="37" spans="5:13" x14ac:dyDescent="0.35">
      <c r="E37" s="1" t="s">
        <v>29</v>
      </c>
      <c r="G37" s="10">
        <f>+G35+G36</f>
        <v>1.6099999999999999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7A8C-336C-4A51-886A-7E96CF942781}">
  <dimension ref="A1:I37"/>
  <sheetViews>
    <sheetView topLeftCell="B1" workbookViewId="0">
      <selection activeCell="G34" sqref="G34:I34"/>
    </sheetView>
  </sheetViews>
  <sheetFormatPr baseColWidth="10" defaultRowHeight="14.5" x14ac:dyDescent="0.35"/>
  <cols>
    <col min="1" max="1" width="14.1796875" bestFit="1" customWidth="1"/>
    <col min="2" max="2" width="20.453125" customWidth="1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54</v>
      </c>
      <c r="H1" s="4" t="s">
        <v>3</v>
      </c>
      <c r="I1" t="s">
        <v>4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18</v>
      </c>
      <c r="C7" s="3" t="s">
        <v>19</v>
      </c>
      <c r="D7" s="5">
        <v>1</v>
      </c>
      <c r="E7" s="5">
        <v>0.5</v>
      </c>
      <c r="F7" s="30">
        <v>0.6</v>
      </c>
      <c r="G7" s="5">
        <f>ROUND(D7*E7*F7,2)</f>
        <v>0.3</v>
      </c>
      <c r="H7" s="38">
        <f>+G7/$G$35</f>
        <v>1.1834319526627219E-2</v>
      </c>
      <c r="I7" s="12">
        <f>+D7*F7</f>
        <v>0.6</v>
      </c>
    </row>
    <row r="8" spans="1:9" x14ac:dyDescent="0.35">
      <c r="B8" t="s">
        <v>55</v>
      </c>
      <c r="C8" s="3" t="s">
        <v>19</v>
      </c>
      <c r="D8" s="9">
        <v>1</v>
      </c>
      <c r="E8" s="9">
        <v>3.5</v>
      </c>
      <c r="F8" s="30">
        <v>0.6</v>
      </c>
      <c r="G8" s="5">
        <f>ROUND(D8*E8*F8,2)</f>
        <v>2.1</v>
      </c>
      <c r="H8" s="38">
        <f>+G8/$G$35</f>
        <v>8.2840236686390525E-2</v>
      </c>
      <c r="I8" s="12">
        <f>+D8*F8</f>
        <v>0.6</v>
      </c>
    </row>
    <row r="9" spans="1:9" x14ac:dyDescent="0.35">
      <c r="D9" s="6"/>
      <c r="E9" s="6"/>
      <c r="F9" s="6"/>
      <c r="G9" s="9"/>
      <c r="H9" s="38"/>
      <c r="I9" s="11"/>
    </row>
    <row r="10" spans="1:9" x14ac:dyDescent="0.35">
      <c r="B10" s="7" t="s">
        <v>22</v>
      </c>
      <c r="D10" s="6"/>
      <c r="F10" s="6"/>
      <c r="G10" s="10">
        <f>SUM(G7:G9)</f>
        <v>2.4</v>
      </c>
      <c r="H10" s="38">
        <f>+G10/$G$35</f>
        <v>9.4674556213017749E-2</v>
      </c>
      <c r="I10" s="12">
        <f>SUM(I7:I9)</f>
        <v>1.2</v>
      </c>
    </row>
    <row r="11" spans="1:9" s="1" customFormat="1" x14ac:dyDescent="0.35">
      <c r="A11" s="1" t="s">
        <v>14</v>
      </c>
      <c r="D11" s="7"/>
      <c r="E11" s="7"/>
      <c r="F11" s="7"/>
      <c r="G11" s="10"/>
      <c r="H11" s="4"/>
    </row>
    <row r="12" spans="1:9" s="37" customFormat="1" ht="84" customHeight="1" x14ac:dyDescent="0.35">
      <c r="B12" s="37" t="s">
        <v>56</v>
      </c>
      <c r="C12" s="37" t="s">
        <v>4</v>
      </c>
      <c r="D12" s="5">
        <v>1.31</v>
      </c>
      <c r="E12" s="5">
        <v>13.5</v>
      </c>
      <c r="F12" s="5"/>
      <c r="G12" s="5">
        <f>ROUND(D12*E12,2)</f>
        <v>17.690000000000001</v>
      </c>
      <c r="H12" s="38">
        <f>+G12/$G$35</f>
        <v>0.69783037475345167</v>
      </c>
      <c r="I12" s="3"/>
    </row>
    <row r="13" spans="1:9" x14ac:dyDescent="0.35">
      <c r="D13" s="5"/>
      <c r="E13" s="5"/>
      <c r="F13" s="5"/>
      <c r="G13" s="5"/>
      <c r="I13" s="3"/>
    </row>
    <row r="14" spans="1:9" x14ac:dyDescent="0.35">
      <c r="D14" s="5"/>
      <c r="E14" s="5"/>
      <c r="F14" s="5"/>
      <c r="G14" s="5"/>
      <c r="I14" s="3"/>
    </row>
    <row r="15" spans="1:9" x14ac:dyDescent="0.35">
      <c r="B15" s="7" t="s">
        <v>23</v>
      </c>
      <c r="D15" s="6"/>
      <c r="E15" s="6"/>
      <c r="F15" s="10"/>
      <c r="G15" s="10">
        <f>SUM(G12:G14)</f>
        <v>17.690000000000001</v>
      </c>
      <c r="H15" s="42">
        <f>+G15/$G$35</f>
        <v>0.69783037475345167</v>
      </c>
      <c r="I15" s="36"/>
    </row>
    <row r="16" spans="1:9" s="1" customFormat="1" x14ac:dyDescent="0.35">
      <c r="A16" s="16" t="s">
        <v>15</v>
      </c>
      <c r="B16" s="16"/>
      <c r="C16" s="16"/>
      <c r="D16" s="17"/>
      <c r="E16" s="20"/>
      <c r="F16" s="17"/>
      <c r="G16" s="18"/>
      <c r="H16" s="39"/>
      <c r="I16" s="16"/>
    </row>
    <row r="17" spans="1:9" x14ac:dyDescent="0.35">
      <c r="A17" s="19"/>
      <c r="B17" s="19"/>
      <c r="C17" s="19"/>
      <c r="D17" s="20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20"/>
      <c r="E18" s="20"/>
      <c r="F18" s="20"/>
      <c r="G18" s="21"/>
      <c r="H18" s="40"/>
      <c r="I18" s="19"/>
    </row>
    <row r="19" spans="1:9" x14ac:dyDescent="0.35">
      <c r="A19" s="19"/>
      <c r="B19" s="19"/>
      <c r="C19" s="19"/>
      <c r="D19" s="20"/>
      <c r="E19" s="20"/>
      <c r="F19" s="20"/>
      <c r="G19" s="21"/>
      <c r="H19" s="40"/>
      <c r="I19" s="19"/>
    </row>
    <row r="20" spans="1:9" x14ac:dyDescent="0.3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1">
        <f>+G20/$G$35</f>
        <v>0</v>
      </c>
      <c r="I20" s="22"/>
    </row>
    <row r="21" spans="1:9" s="1" customFormat="1" x14ac:dyDescent="0.35">
      <c r="A21" s="1" t="s">
        <v>16</v>
      </c>
      <c r="D21" s="7"/>
      <c r="E21" s="7"/>
      <c r="F21" s="7"/>
      <c r="G21" s="10"/>
      <c r="H21" s="4"/>
    </row>
    <row r="22" spans="1:9" x14ac:dyDescent="0.35">
      <c r="B22" t="s">
        <v>20</v>
      </c>
      <c r="C22" s="3" t="s">
        <v>19</v>
      </c>
      <c r="D22" s="5">
        <v>1</v>
      </c>
      <c r="E22" s="5">
        <v>3.46</v>
      </c>
      <c r="F22" s="30">
        <v>0.6</v>
      </c>
      <c r="G22" s="5">
        <f t="shared" ref="G22:G23" si="0">ROUND(D22*E22*F22,2)</f>
        <v>2.08</v>
      </c>
      <c r="H22" s="38">
        <f>+G22/$G$35</f>
        <v>8.2051282051282051E-2</v>
      </c>
      <c r="I22" s="34">
        <f>+D22*F22</f>
        <v>0.6</v>
      </c>
    </row>
    <row r="23" spans="1:9" x14ac:dyDescent="0.35">
      <c r="B23" t="s">
        <v>50</v>
      </c>
      <c r="C23" s="3" t="s">
        <v>19</v>
      </c>
      <c r="D23" s="5">
        <v>1</v>
      </c>
      <c r="E23" s="5">
        <v>4.29</v>
      </c>
      <c r="F23" s="30">
        <v>0.6</v>
      </c>
      <c r="G23" s="5">
        <f t="shared" si="0"/>
        <v>2.57</v>
      </c>
      <c r="H23" s="38">
        <f t="shared" ref="H23" si="1">+G23/$G$35</f>
        <v>0.10138067061143984</v>
      </c>
      <c r="I23" s="34">
        <f t="shared" ref="I23" si="2">+D23*F23</f>
        <v>0.6</v>
      </c>
    </row>
    <row r="24" spans="1:9" x14ac:dyDescent="0.35">
      <c r="B24" t="s">
        <v>21</v>
      </c>
      <c r="C24" s="3" t="s">
        <v>19</v>
      </c>
      <c r="D24" s="5">
        <v>1</v>
      </c>
      <c r="E24" s="5">
        <v>5.1100000000000003</v>
      </c>
      <c r="F24" s="30">
        <v>0.12</v>
      </c>
      <c r="G24" s="5">
        <f>ROUND(D24*E24*F24,2)</f>
        <v>0.61</v>
      </c>
      <c r="H24" s="38">
        <f>+G24/$G$35</f>
        <v>2.4063116370808678E-2</v>
      </c>
      <c r="I24" s="34">
        <f>+D24*F24</f>
        <v>0.12</v>
      </c>
    </row>
    <row r="26" spans="1:9" x14ac:dyDescent="0.35">
      <c r="B26" s="7" t="s">
        <v>25</v>
      </c>
      <c r="D26" s="5">
        <f>SUM(D22:D24)</f>
        <v>3</v>
      </c>
      <c r="G26" s="10">
        <f>SUM(G22:G24)</f>
        <v>5.2600000000000007</v>
      </c>
      <c r="H26" s="38">
        <f>+G26/$G$35</f>
        <v>0.2074950690335306</v>
      </c>
      <c r="I26" s="34">
        <f>SUM(I22:I24)</f>
        <v>1.3199999999999998</v>
      </c>
    </row>
    <row r="27" spans="1:9" s="1" customFormat="1" x14ac:dyDescent="0.35">
      <c r="A27" s="16" t="s">
        <v>17</v>
      </c>
      <c r="B27" s="16"/>
      <c r="C27" s="16"/>
      <c r="D27" s="17"/>
      <c r="E27" s="17"/>
      <c r="F27" s="17"/>
      <c r="G27" s="18"/>
      <c r="H27" s="39"/>
      <c r="I27" s="16"/>
    </row>
    <row r="28" spans="1:9" x14ac:dyDescent="0.35">
      <c r="A28" s="19"/>
      <c r="B28" s="19"/>
      <c r="C28" s="19"/>
      <c r="D28" s="20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20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20"/>
      <c r="E30" s="20"/>
      <c r="F30" s="20"/>
      <c r="G30" s="21"/>
      <c r="H30" s="40"/>
      <c r="I30" s="19"/>
    </row>
    <row r="31" spans="1:9" x14ac:dyDescent="0.35">
      <c r="A31" s="19"/>
      <c r="B31" s="19"/>
      <c r="C31" s="19"/>
      <c r="D31" s="19"/>
      <c r="E31" s="19"/>
      <c r="F31" s="19"/>
      <c r="G31" s="23"/>
      <c r="H31" s="40"/>
      <c r="I31" s="19"/>
    </row>
    <row r="32" spans="1:9" x14ac:dyDescent="0.3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1">
        <f>+G32/$G$35</f>
        <v>0</v>
      </c>
      <c r="I32" s="22"/>
    </row>
    <row r="34" spans="5:9" ht="14.5" customHeight="1" x14ac:dyDescent="0.35">
      <c r="E34" s="13" t="s">
        <v>31</v>
      </c>
      <c r="F34" s="35">
        <v>0.6</v>
      </c>
      <c r="G34" s="76" t="s">
        <v>88</v>
      </c>
      <c r="H34" s="76"/>
      <c r="I34" s="76"/>
    </row>
    <row r="35" spans="5:9" x14ac:dyDescent="0.35">
      <c r="E35" s="1" t="s">
        <v>27</v>
      </c>
      <c r="G35" s="10">
        <f>+G10+G15+G20+G26+G32</f>
        <v>25.35</v>
      </c>
    </row>
    <row r="36" spans="5:9" x14ac:dyDescent="0.35">
      <c r="E36" s="1" t="s">
        <v>28</v>
      </c>
      <c r="G36" s="8">
        <f>+ROUND(0.12*G35,2)</f>
        <v>3.04</v>
      </c>
    </row>
    <row r="37" spans="5:9" x14ac:dyDescent="0.35">
      <c r="E37" s="1" t="s">
        <v>29</v>
      </c>
      <c r="G37" s="10">
        <f>+G35+G36</f>
        <v>28.39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1D53-96EC-4321-9732-43143BDD8EA6}">
  <dimension ref="A1:I36"/>
  <sheetViews>
    <sheetView zoomScale="80" zoomScaleNormal="80" workbookViewId="0">
      <selection activeCell="I7" sqref="I7"/>
    </sheetView>
  </sheetViews>
  <sheetFormatPr baseColWidth="10" defaultRowHeight="14.5" x14ac:dyDescent="0.35"/>
  <cols>
    <col min="1" max="1" width="14.1796875" bestFit="1" customWidth="1"/>
    <col min="2" max="2" width="22.81640625" customWidth="1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61</v>
      </c>
      <c r="H1" s="4" t="s">
        <v>3</v>
      </c>
      <c r="I1" t="s">
        <v>63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18</v>
      </c>
      <c r="C7" s="3" t="s">
        <v>19</v>
      </c>
      <c r="D7" s="5">
        <v>1</v>
      </c>
      <c r="E7" s="5">
        <v>0.5</v>
      </c>
      <c r="F7" s="30">
        <v>0.6</v>
      </c>
      <c r="G7" s="5">
        <f>ROUND(D7*E7*F7,2)</f>
        <v>0.3</v>
      </c>
      <c r="H7" s="38">
        <f>+G7/$G$34</f>
        <v>2.1008403361344536E-2</v>
      </c>
      <c r="I7" s="12">
        <f>+D7*F7</f>
        <v>0.6</v>
      </c>
    </row>
    <row r="8" spans="1:9" x14ac:dyDescent="0.35">
      <c r="D8" s="6"/>
      <c r="E8" s="6"/>
      <c r="F8" s="6"/>
      <c r="G8" s="9"/>
      <c r="H8" s="38"/>
      <c r="I8" s="11"/>
    </row>
    <row r="9" spans="1:9" x14ac:dyDescent="0.35">
      <c r="B9" s="7" t="s">
        <v>22</v>
      </c>
      <c r="D9" s="6"/>
      <c r="F9" s="6"/>
      <c r="G9" s="10">
        <f>SUM(G7:G8)</f>
        <v>0.3</v>
      </c>
      <c r="H9" s="38">
        <f>+G9/$G$34</f>
        <v>2.1008403361344536E-2</v>
      </c>
      <c r="I9" s="12">
        <f>SUM(I7:I8)</f>
        <v>0.6</v>
      </c>
    </row>
    <row r="10" spans="1:9" s="1" customFormat="1" x14ac:dyDescent="0.35">
      <c r="A10" s="1" t="s">
        <v>14</v>
      </c>
      <c r="D10" s="7"/>
      <c r="E10" s="7"/>
      <c r="F10" s="7"/>
      <c r="G10" s="10"/>
      <c r="H10" s="4"/>
    </row>
    <row r="11" spans="1:9" s="37" customFormat="1" ht="45" customHeight="1" x14ac:dyDescent="0.35">
      <c r="B11" s="37" t="s">
        <v>64</v>
      </c>
      <c r="C11" s="3" t="s">
        <v>65</v>
      </c>
      <c r="D11" s="5">
        <v>13</v>
      </c>
      <c r="E11" s="5">
        <v>0.5</v>
      </c>
      <c r="F11" s="5"/>
      <c r="G11" s="5">
        <f>ROUND(D11*E11,2)</f>
        <v>6.5</v>
      </c>
      <c r="H11" s="38">
        <f>+G11/$G$34</f>
        <v>0.45518207282913159</v>
      </c>
      <c r="I11" s="3"/>
    </row>
    <row r="12" spans="1:9" x14ac:dyDescent="0.35">
      <c r="B12" t="s">
        <v>66</v>
      </c>
      <c r="C12" s="2" t="s">
        <v>4</v>
      </c>
      <c r="D12" s="5">
        <v>0.02</v>
      </c>
      <c r="E12" s="5">
        <v>110.95</v>
      </c>
      <c r="F12" s="5"/>
      <c r="G12" s="5">
        <f>ROUND(D12*E12,2)</f>
        <v>2.2200000000000002</v>
      </c>
      <c r="H12" s="38">
        <f>+G12/$G$34</f>
        <v>0.15546218487394958</v>
      </c>
      <c r="I12" s="3"/>
    </row>
    <row r="13" spans="1:9" x14ac:dyDescent="0.35">
      <c r="D13" s="5"/>
      <c r="E13" s="5"/>
      <c r="F13" s="5"/>
      <c r="G13" s="5"/>
      <c r="I13" s="3"/>
    </row>
    <row r="14" spans="1:9" x14ac:dyDescent="0.35">
      <c r="B14" s="7" t="s">
        <v>23</v>
      </c>
      <c r="D14" s="6"/>
      <c r="E14" s="6"/>
      <c r="F14" s="10"/>
      <c r="G14" s="10">
        <f>SUM(G11:G13)</f>
        <v>8.7200000000000006</v>
      </c>
      <c r="H14" s="42">
        <f>+G14/$G$34</f>
        <v>0.61064425770308128</v>
      </c>
      <c r="I14" s="36"/>
    </row>
    <row r="15" spans="1:9" s="1" customFormat="1" x14ac:dyDescent="0.35">
      <c r="A15" s="16" t="s">
        <v>15</v>
      </c>
      <c r="B15" s="16"/>
      <c r="C15" s="16"/>
      <c r="D15" s="17"/>
      <c r="E15" s="20"/>
      <c r="F15" s="17"/>
      <c r="G15" s="18"/>
      <c r="H15" s="39"/>
      <c r="I15" s="16"/>
    </row>
    <row r="16" spans="1:9" x14ac:dyDescent="0.35">
      <c r="A16" s="19"/>
      <c r="B16" s="19"/>
      <c r="C16" s="19"/>
      <c r="D16" s="20"/>
      <c r="E16" s="20"/>
      <c r="F16" s="20"/>
      <c r="G16" s="21"/>
      <c r="H16" s="40"/>
      <c r="I16" s="19"/>
    </row>
    <row r="17" spans="1:9" x14ac:dyDescent="0.35">
      <c r="A17" s="19"/>
      <c r="B17" s="19"/>
      <c r="C17" s="19"/>
      <c r="D17" s="20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20"/>
      <c r="E18" s="20"/>
      <c r="F18" s="20"/>
      <c r="G18" s="21"/>
      <c r="H18" s="40"/>
      <c r="I18" s="19"/>
    </row>
    <row r="19" spans="1:9" x14ac:dyDescent="0.35">
      <c r="A19" s="19"/>
      <c r="B19" s="17" t="s">
        <v>24</v>
      </c>
      <c r="C19" s="19"/>
      <c r="D19" s="20"/>
      <c r="E19" s="20"/>
      <c r="F19" s="18"/>
      <c r="G19" s="18">
        <f>SUM(G16:G18)</f>
        <v>0</v>
      </c>
      <c r="H19" s="41">
        <f>+G19/$G$34</f>
        <v>0</v>
      </c>
      <c r="I19" s="22"/>
    </row>
    <row r="20" spans="1:9" s="1" customFormat="1" x14ac:dyDescent="0.35">
      <c r="A20" s="1" t="s">
        <v>16</v>
      </c>
      <c r="D20" s="7"/>
      <c r="E20" s="7"/>
      <c r="F20" s="7"/>
      <c r="G20" s="10"/>
      <c r="H20" s="4"/>
    </row>
    <row r="21" spans="1:9" x14ac:dyDescent="0.35">
      <c r="B21" t="s">
        <v>20</v>
      </c>
      <c r="C21" s="3" t="s">
        <v>19</v>
      </c>
      <c r="D21" s="5">
        <v>1</v>
      </c>
      <c r="E21" s="5">
        <v>3.46</v>
      </c>
      <c r="F21" s="30">
        <v>0.6</v>
      </c>
      <c r="G21" s="5">
        <f t="shared" ref="G21:G22" si="0">ROUND(D21*E21*F21,2)</f>
        <v>2.08</v>
      </c>
      <c r="H21" s="38">
        <f>+G21/$G$34</f>
        <v>0.14565826330532211</v>
      </c>
      <c r="I21" s="34">
        <f>+D21*F21</f>
        <v>0.6</v>
      </c>
    </row>
    <row r="22" spans="1:9" x14ac:dyDescent="0.35">
      <c r="B22" t="s">
        <v>50</v>
      </c>
      <c r="C22" s="3" t="s">
        <v>19</v>
      </c>
      <c r="D22" s="5">
        <v>1</v>
      </c>
      <c r="E22" s="5">
        <v>4.29</v>
      </c>
      <c r="F22" s="30">
        <v>0.6</v>
      </c>
      <c r="G22" s="5">
        <f t="shared" si="0"/>
        <v>2.57</v>
      </c>
      <c r="H22" s="38">
        <f t="shared" ref="H22" si="1">+G22/$G$34</f>
        <v>0.17997198879551818</v>
      </c>
      <c r="I22" s="34">
        <f t="shared" ref="I22" si="2">+D22*F22</f>
        <v>0.6</v>
      </c>
    </row>
    <row r="23" spans="1:9" x14ac:dyDescent="0.35">
      <c r="B23" t="s">
        <v>21</v>
      </c>
      <c r="C23" s="3" t="s">
        <v>19</v>
      </c>
      <c r="D23" s="5">
        <v>1</v>
      </c>
      <c r="E23" s="5">
        <v>5.1100000000000003</v>
      </c>
      <c r="F23" s="30">
        <v>0.12</v>
      </c>
      <c r="G23" s="5">
        <f>ROUND(D23*E23*F23,2)</f>
        <v>0.61</v>
      </c>
      <c r="H23" s="38">
        <f>+G23/$G$34</f>
        <v>4.2717086834733888E-2</v>
      </c>
      <c r="I23" s="34">
        <f>+D23*F23</f>
        <v>0.12</v>
      </c>
    </row>
    <row r="25" spans="1:9" x14ac:dyDescent="0.35">
      <c r="B25" s="7" t="s">
        <v>25</v>
      </c>
      <c r="D25" s="5">
        <f>SUM(D21:D23)</f>
        <v>3</v>
      </c>
      <c r="G25" s="10">
        <f>SUM(G21:G23)</f>
        <v>5.2600000000000007</v>
      </c>
      <c r="H25" s="38">
        <f>+G25/$G$34</f>
        <v>0.36834733893557425</v>
      </c>
      <c r="I25" s="34">
        <f>SUM(I21:I23)</f>
        <v>1.3199999999999998</v>
      </c>
    </row>
    <row r="26" spans="1:9" s="1" customFormat="1" x14ac:dyDescent="0.35">
      <c r="A26" s="16" t="s">
        <v>17</v>
      </c>
      <c r="B26" s="16"/>
      <c r="C26" s="16"/>
      <c r="D26" s="17"/>
      <c r="E26" s="17"/>
      <c r="F26" s="17"/>
      <c r="G26" s="18"/>
      <c r="H26" s="39"/>
      <c r="I26" s="16"/>
    </row>
    <row r="27" spans="1:9" x14ac:dyDescent="0.35">
      <c r="A27" s="19"/>
      <c r="B27" s="19"/>
      <c r="C27" s="19"/>
      <c r="D27" s="20"/>
      <c r="E27" s="20"/>
      <c r="F27" s="20"/>
      <c r="G27" s="21"/>
      <c r="H27" s="40"/>
      <c r="I27" s="19"/>
    </row>
    <row r="28" spans="1:9" x14ac:dyDescent="0.35">
      <c r="A28" s="19"/>
      <c r="B28" s="19"/>
      <c r="C28" s="19"/>
      <c r="D28" s="20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20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19"/>
      <c r="E30" s="19"/>
      <c r="F30" s="19"/>
      <c r="G30" s="23"/>
      <c r="H30" s="40"/>
      <c r="I30" s="19"/>
    </row>
    <row r="31" spans="1:9" x14ac:dyDescent="0.35">
      <c r="A31" s="19"/>
      <c r="B31" s="17" t="s">
        <v>26</v>
      </c>
      <c r="C31" s="19"/>
      <c r="D31" s="19"/>
      <c r="E31" s="19"/>
      <c r="F31" s="19"/>
      <c r="G31" s="18">
        <f>SUM(G27:G30)</f>
        <v>0</v>
      </c>
      <c r="H31" s="41">
        <f>+G31/$G$34</f>
        <v>0</v>
      </c>
      <c r="I31" s="22"/>
    </row>
    <row r="33" spans="5:9" ht="14.5" customHeight="1" x14ac:dyDescent="0.35">
      <c r="E33" s="13" t="s">
        <v>31</v>
      </c>
      <c r="F33" s="35">
        <v>0.6</v>
      </c>
      <c r="G33" s="76" t="s">
        <v>88</v>
      </c>
      <c r="H33" s="76"/>
      <c r="I33" s="76"/>
    </row>
    <row r="34" spans="5:9" x14ac:dyDescent="0.35">
      <c r="E34" s="1" t="s">
        <v>27</v>
      </c>
      <c r="G34" s="10">
        <f>+G9+G14+G19+G25+G31</f>
        <v>14.280000000000001</v>
      </c>
    </row>
    <row r="35" spans="5:9" x14ac:dyDescent="0.35">
      <c r="E35" s="1" t="s">
        <v>28</v>
      </c>
      <c r="G35" s="8">
        <f>+ROUND(0.12*G34,2)</f>
        <v>1.71</v>
      </c>
    </row>
    <row r="36" spans="5:9" x14ac:dyDescent="0.35">
      <c r="E36" s="1" t="s">
        <v>29</v>
      </c>
      <c r="G36" s="10">
        <f>+G34+G35</f>
        <v>15.990000000000002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BCBF-9D3A-4CC5-B8B6-081FB2F13D7D}">
  <dimension ref="A1:I36"/>
  <sheetViews>
    <sheetView zoomScale="90" zoomScaleNormal="90" workbookViewId="0">
      <selection activeCell="J25" sqref="J25"/>
    </sheetView>
  </sheetViews>
  <sheetFormatPr baseColWidth="10" defaultRowHeight="14.5" x14ac:dyDescent="0.35"/>
  <cols>
    <col min="1" max="1" width="14.1796875" bestFit="1" customWidth="1"/>
    <col min="2" max="2" width="22.81640625" customWidth="1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66</v>
      </c>
      <c r="H1" s="4" t="s">
        <v>3</v>
      </c>
      <c r="I1" t="s">
        <v>4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18</v>
      </c>
      <c r="C7" s="3" t="s">
        <v>19</v>
      </c>
      <c r="D7" s="5">
        <v>2</v>
      </c>
      <c r="E7" s="5">
        <v>0.5</v>
      </c>
      <c r="F7" s="30">
        <v>0.9</v>
      </c>
      <c r="G7" s="5">
        <f>ROUND(D7*E7*F7,2)</f>
        <v>0.9</v>
      </c>
      <c r="H7" s="38">
        <f>+G7/$G$34</f>
        <v>8.1117620549797202E-3</v>
      </c>
      <c r="I7" s="12">
        <f>+D7*F7</f>
        <v>1.8</v>
      </c>
    </row>
    <row r="8" spans="1:9" x14ac:dyDescent="0.35">
      <c r="D8" s="6"/>
      <c r="E8" s="6"/>
      <c r="F8" s="6"/>
      <c r="G8" s="9"/>
      <c r="H8" s="38"/>
      <c r="I8" s="11"/>
    </row>
    <row r="9" spans="1:9" x14ac:dyDescent="0.35">
      <c r="B9" s="7" t="s">
        <v>22</v>
      </c>
      <c r="D9" s="6"/>
      <c r="F9" s="6"/>
      <c r="G9" s="10">
        <f>SUM(G7:G8)</f>
        <v>0.9</v>
      </c>
      <c r="H9" s="38">
        <f>+G9/$G$34</f>
        <v>8.1117620549797202E-3</v>
      </c>
      <c r="I9" s="12">
        <f>SUM(I7:I8)</f>
        <v>1.8</v>
      </c>
    </row>
    <row r="10" spans="1:9" s="1" customFormat="1" x14ac:dyDescent="0.35">
      <c r="A10" s="1" t="s">
        <v>14</v>
      </c>
      <c r="D10" s="7"/>
      <c r="E10" s="7"/>
      <c r="F10" s="7"/>
      <c r="G10" s="10"/>
      <c r="H10" s="4"/>
    </row>
    <row r="11" spans="1:9" s="37" customFormat="1" ht="45" customHeight="1" x14ac:dyDescent="0.35">
      <c r="B11" s="37" t="s">
        <v>69</v>
      </c>
      <c r="C11" s="3" t="s">
        <v>71</v>
      </c>
      <c r="D11" s="5">
        <v>10</v>
      </c>
      <c r="E11" s="5">
        <v>7.25</v>
      </c>
      <c r="F11" s="5"/>
      <c r="G11" s="5">
        <f>ROUND(D11*E11,2)</f>
        <v>72.5</v>
      </c>
      <c r="H11" s="38">
        <f>+G11/$G$34</f>
        <v>0.65344749887336639</v>
      </c>
      <c r="I11" s="3"/>
    </row>
    <row r="12" spans="1:9" x14ac:dyDescent="0.35">
      <c r="B12" t="s">
        <v>70</v>
      </c>
      <c r="C12" s="2" t="s">
        <v>4</v>
      </c>
      <c r="D12" s="5">
        <v>1.1499999999999999</v>
      </c>
      <c r="E12" s="5">
        <v>20.5</v>
      </c>
      <c r="F12" s="5"/>
      <c r="G12" s="5">
        <f>ROUND(D12*E12,2)</f>
        <v>23.58</v>
      </c>
      <c r="H12" s="38">
        <f>+G12/$G$34</f>
        <v>0.21252816584046866</v>
      </c>
      <c r="I12" s="3"/>
    </row>
    <row r="13" spans="1:9" x14ac:dyDescent="0.35">
      <c r="B13" t="s">
        <v>67</v>
      </c>
      <c r="C13" s="2" t="s">
        <v>72</v>
      </c>
      <c r="D13" s="5">
        <v>250</v>
      </c>
      <c r="E13" s="5">
        <v>0.01</v>
      </c>
      <c r="F13" s="5"/>
      <c r="G13" s="5">
        <f>ROUND(D13*E13,2)</f>
        <v>2.5</v>
      </c>
      <c r="H13" s="38">
        <f>+G13/$G$34</f>
        <v>2.2532672374943667E-2</v>
      </c>
      <c r="I13" s="3"/>
    </row>
    <row r="14" spans="1:9" x14ac:dyDescent="0.35">
      <c r="B14" s="7" t="s">
        <v>23</v>
      </c>
      <c r="D14" s="6"/>
      <c r="E14" s="6"/>
      <c r="F14" s="10"/>
      <c r="G14" s="10">
        <f>SUM(G11:G13)</f>
        <v>98.58</v>
      </c>
      <c r="H14" s="42">
        <f>+G14/$G$34</f>
        <v>0.88850833708877874</v>
      </c>
      <c r="I14" s="36"/>
    </row>
    <row r="15" spans="1:9" s="1" customFormat="1" x14ac:dyDescent="0.35">
      <c r="A15" s="16" t="s">
        <v>15</v>
      </c>
      <c r="B15" s="16"/>
      <c r="C15" s="16"/>
      <c r="D15" s="17"/>
      <c r="E15" s="20"/>
      <c r="F15" s="17"/>
      <c r="G15" s="18"/>
      <c r="H15" s="39"/>
      <c r="I15" s="16"/>
    </row>
    <row r="16" spans="1:9" x14ac:dyDescent="0.35">
      <c r="A16" s="19"/>
      <c r="B16" s="19"/>
      <c r="C16" s="19"/>
      <c r="D16" s="20"/>
      <c r="E16" s="20"/>
      <c r="F16" s="20"/>
      <c r="G16" s="21"/>
      <c r="H16" s="40"/>
      <c r="I16" s="19"/>
    </row>
    <row r="17" spans="1:9" x14ac:dyDescent="0.35">
      <c r="A17" s="19"/>
      <c r="B17" s="19"/>
      <c r="C17" s="19"/>
      <c r="D17" s="20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20"/>
      <c r="E18" s="20"/>
      <c r="F18" s="20"/>
      <c r="G18" s="21"/>
      <c r="H18" s="40"/>
      <c r="I18" s="19"/>
    </row>
    <row r="19" spans="1:9" x14ac:dyDescent="0.35">
      <c r="A19" s="19"/>
      <c r="B19" s="17" t="s">
        <v>24</v>
      </c>
      <c r="C19" s="19"/>
      <c r="D19" s="20"/>
      <c r="E19" s="20"/>
      <c r="F19" s="18"/>
      <c r="G19" s="18">
        <f>SUM(G16:G18)</f>
        <v>0</v>
      </c>
      <c r="H19" s="41">
        <f>+G19/$G$34</f>
        <v>0</v>
      </c>
      <c r="I19" s="22"/>
    </row>
    <row r="20" spans="1:9" s="1" customFormat="1" x14ac:dyDescent="0.35">
      <c r="A20" s="1" t="s">
        <v>16</v>
      </c>
      <c r="D20" s="7"/>
      <c r="E20" s="7"/>
      <c r="F20" s="7"/>
      <c r="G20" s="10"/>
      <c r="H20" s="4"/>
    </row>
    <row r="21" spans="1:9" x14ac:dyDescent="0.35">
      <c r="B21" t="s">
        <v>20</v>
      </c>
      <c r="C21" s="3" t="s">
        <v>19</v>
      </c>
      <c r="D21" s="5">
        <v>2</v>
      </c>
      <c r="E21" s="5">
        <v>3.46</v>
      </c>
      <c r="F21" s="30">
        <v>0.9</v>
      </c>
      <c r="G21" s="5">
        <f t="shared" ref="G21:G22" si="0">ROUND(D21*E21*F21,2)</f>
        <v>6.23</v>
      </c>
      <c r="H21" s="38">
        <f>+G21/$G$34</f>
        <v>5.6151419558359623E-2</v>
      </c>
      <c r="I21" s="34">
        <f>+D21*F21</f>
        <v>1.8</v>
      </c>
    </row>
    <row r="22" spans="1:9" x14ac:dyDescent="0.35">
      <c r="B22" t="s">
        <v>50</v>
      </c>
      <c r="C22" s="3" t="s">
        <v>19</v>
      </c>
      <c r="D22" s="5">
        <v>1</v>
      </c>
      <c r="E22" s="5">
        <v>4.29</v>
      </c>
      <c r="F22" s="30">
        <v>0.9</v>
      </c>
      <c r="G22" s="5">
        <f t="shared" si="0"/>
        <v>3.86</v>
      </c>
      <c r="H22" s="38">
        <f t="shared" ref="H22" si="1">+G22/$G$34</f>
        <v>3.4790446146913019E-2</v>
      </c>
      <c r="I22" s="34">
        <f t="shared" ref="I22" si="2">+D22*F22</f>
        <v>0.9</v>
      </c>
    </row>
    <row r="23" spans="1:9" x14ac:dyDescent="0.35">
      <c r="B23" t="s">
        <v>21</v>
      </c>
      <c r="C23" s="3" t="s">
        <v>19</v>
      </c>
      <c r="D23" s="5">
        <v>1</v>
      </c>
      <c r="E23" s="5">
        <v>5.1100000000000003</v>
      </c>
      <c r="F23" s="30">
        <v>0.27</v>
      </c>
      <c r="G23" s="5">
        <f>ROUND(D23*E23*F23,2)</f>
        <v>1.38</v>
      </c>
      <c r="H23" s="38">
        <f>+G23/$G$34</f>
        <v>1.2438035150968904E-2</v>
      </c>
      <c r="I23" s="34">
        <f>+D23*F23</f>
        <v>0.27</v>
      </c>
    </row>
    <row r="25" spans="1:9" x14ac:dyDescent="0.35">
      <c r="B25" s="7" t="s">
        <v>25</v>
      </c>
      <c r="D25" s="5">
        <f>SUM(D21:D23)</f>
        <v>4</v>
      </c>
      <c r="G25" s="10">
        <f>SUM(G21:G23)</f>
        <v>11.469999999999999</v>
      </c>
      <c r="H25" s="38">
        <f>+G25/$G$34</f>
        <v>0.10337990085624153</v>
      </c>
      <c r="I25" s="34">
        <f>SUM(I21:I23)</f>
        <v>2.97</v>
      </c>
    </row>
    <row r="26" spans="1:9" s="1" customFormat="1" x14ac:dyDescent="0.35">
      <c r="A26" s="16" t="s">
        <v>17</v>
      </c>
      <c r="B26" s="16"/>
      <c r="C26" s="16"/>
      <c r="D26" s="17"/>
      <c r="E26" s="17"/>
      <c r="F26" s="17"/>
      <c r="G26" s="18"/>
      <c r="H26" s="39"/>
      <c r="I26" s="16"/>
    </row>
    <row r="27" spans="1:9" x14ac:dyDescent="0.35">
      <c r="A27" s="19"/>
      <c r="B27" s="19"/>
      <c r="C27" s="19"/>
      <c r="D27" s="20"/>
      <c r="E27" s="20"/>
      <c r="F27" s="20"/>
      <c r="G27" s="21"/>
      <c r="H27" s="40"/>
      <c r="I27" s="19"/>
    </row>
    <row r="28" spans="1:9" x14ac:dyDescent="0.35">
      <c r="A28" s="19"/>
      <c r="B28" s="19"/>
      <c r="C28" s="19"/>
      <c r="D28" s="20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20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19"/>
      <c r="E30" s="19"/>
      <c r="F30" s="19"/>
      <c r="G30" s="23"/>
      <c r="H30" s="40"/>
      <c r="I30" s="19"/>
    </row>
    <row r="31" spans="1:9" x14ac:dyDescent="0.35">
      <c r="A31" s="19"/>
      <c r="B31" s="17" t="s">
        <v>26</v>
      </c>
      <c r="C31" s="19"/>
      <c r="D31" s="19"/>
      <c r="E31" s="19"/>
      <c r="F31" s="19"/>
      <c r="G31" s="18">
        <f>SUM(G27:G30)</f>
        <v>0</v>
      </c>
      <c r="H31" s="41">
        <f>+G31/$G$34</f>
        <v>0</v>
      </c>
      <c r="I31" s="22"/>
    </row>
    <row r="33" spans="5:9" ht="14.5" customHeight="1" x14ac:dyDescent="0.35">
      <c r="E33" s="13" t="s">
        <v>31</v>
      </c>
      <c r="F33" s="35">
        <v>0.9</v>
      </c>
      <c r="G33" s="76" t="s">
        <v>88</v>
      </c>
      <c r="H33" s="76"/>
      <c r="I33" s="76"/>
    </row>
    <row r="34" spans="5:9" x14ac:dyDescent="0.35">
      <c r="E34" s="1" t="s">
        <v>27</v>
      </c>
      <c r="G34" s="10">
        <f>+G9+G14+G19+G25+G31</f>
        <v>110.95</v>
      </c>
    </row>
    <row r="35" spans="5:9" x14ac:dyDescent="0.35">
      <c r="E35" s="1" t="s">
        <v>28</v>
      </c>
      <c r="G35" s="8">
        <f>+ROUND(0.12*G34,2)</f>
        <v>13.31</v>
      </c>
    </row>
    <row r="36" spans="5:9" x14ac:dyDescent="0.35">
      <c r="E36" s="1" t="s">
        <v>29</v>
      </c>
      <c r="G36" s="10">
        <f>+G34+G35</f>
        <v>124.26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9B0B-9E8C-4077-96FA-C68B1274EDB7}">
  <dimension ref="A1:I36"/>
  <sheetViews>
    <sheetView zoomScale="90" zoomScaleNormal="90" workbookViewId="0">
      <selection activeCell="P35" sqref="P35"/>
    </sheetView>
  </sheetViews>
  <sheetFormatPr baseColWidth="10" defaultRowHeight="14.5" x14ac:dyDescent="0.35"/>
  <cols>
    <col min="1" max="1" width="14.1796875" bestFit="1" customWidth="1"/>
    <col min="2" max="2" width="22.81640625" customWidth="1"/>
    <col min="4" max="4" width="11.453125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66</v>
      </c>
      <c r="H1" s="4" t="s">
        <v>3</v>
      </c>
      <c r="I1" t="s">
        <v>4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18</v>
      </c>
      <c r="C7" s="3" t="s">
        <v>19</v>
      </c>
      <c r="D7" s="77">
        <f>+'4(APU anidado)'!D7</f>
        <v>2</v>
      </c>
      <c r="E7" s="5">
        <v>0.5</v>
      </c>
      <c r="F7" s="57">
        <f>+'4(APU anidado)'!F7*'4(APU)'!$D$12</f>
        <v>1.8000000000000002E-2</v>
      </c>
      <c r="G7" s="58">
        <f>ROUND(D7*E7*F7,2)</f>
        <v>0.02</v>
      </c>
      <c r="H7" s="38">
        <f>+G7/$G$34</f>
        <v>9.0090090090090089E-3</v>
      </c>
      <c r="I7" s="12">
        <f>+D7*F7</f>
        <v>3.6000000000000004E-2</v>
      </c>
    </row>
    <row r="8" spans="1:9" x14ac:dyDescent="0.35">
      <c r="D8" s="6"/>
      <c r="E8" s="6"/>
      <c r="F8" s="6"/>
      <c r="G8" s="9"/>
      <c r="H8" s="38"/>
      <c r="I8" s="11"/>
    </row>
    <row r="9" spans="1:9" x14ac:dyDescent="0.35">
      <c r="B9" s="7" t="s">
        <v>22</v>
      </c>
      <c r="D9" s="6"/>
      <c r="F9" s="6"/>
      <c r="G9" s="10">
        <f>SUM(G7:G8)</f>
        <v>0.02</v>
      </c>
      <c r="H9" s="38">
        <f>+G9/$G$34</f>
        <v>9.0090090090090089E-3</v>
      </c>
      <c r="I9" s="12">
        <f>SUM(I7:I8)</f>
        <v>3.6000000000000004E-2</v>
      </c>
    </row>
    <row r="10" spans="1:9" s="1" customFormat="1" x14ac:dyDescent="0.35">
      <c r="A10" s="1" t="s">
        <v>14</v>
      </c>
      <c r="D10" s="7"/>
      <c r="E10" s="7"/>
      <c r="F10" s="7"/>
      <c r="G10" s="10"/>
      <c r="H10" s="4"/>
    </row>
    <row r="11" spans="1:9" s="37" customFormat="1" ht="45" customHeight="1" x14ac:dyDescent="0.35">
      <c r="B11" s="37" t="s">
        <v>69</v>
      </c>
      <c r="C11" s="3" t="s">
        <v>71</v>
      </c>
      <c r="D11" s="47">
        <f>'4(APU)'!$D$12*'4(APU anidado)'!D11</f>
        <v>0.2</v>
      </c>
      <c r="E11" s="5">
        <v>7.25</v>
      </c>
      <c r="F11" s="5"/>
      <c r="G11" s="5">
        <f>ROUND(D11*E11,2)</f>
        <v>1.45</v>
      </c>
      <c r="H11" s="38">
        <f>+G11/$G$34</f>
        <v>0.65315315315315303</v>
      </c>
      <c r="I11" s="3"/>
    </row>
    <row r="12" spans="1:9" x14ac:dyDescent="0.35">
      <c r="B12" t="s">
        <v>70</v>
      </c>
      <c r="C12" s="2" t="s">
        <v>4</v>
      </c>
      <c r="D12" s="57">
        <f>'4(APU)'!$D$12*'4(APU anidado)'!D12</f>
        <v>2.3E-2</v>
      </c>
      <c r="E12" s="5">
        <v>20.5</v>
      </c>
      <c r="F12" s="5"/>
      <c r="G12" s="5">
        <f>ROUND(D12*E12,2)</f>
        <v>0.47</v>
      </c>
      <c r="H12" s="38">
        <f>+G12/$G$34</f>
        <v>0.21171171171171169</v>
      </c>
      <c r="I12" s="3"/>
    </row>
    <row r="13" spans="1:9" x14ac:dyDescent="0.35">
      <c r="B13" t="s">
        <v>67</v>
      </c>
      <c r="C13" s="2" t="s">
        <v>72</v>
      </c>
      <c r="D13" s="47">
        <f>'4(APU)'!$D$12*'4(APU anidado)'!D13</f>
        <v>5</v>
      </c>
      <c r="E13" s="5">
        <v>0.01</v>
      </c>
      <c r="F13" s="5"/>
      <c r="G13" s="5">
        <f>ROUND(D13*E13,2)</f>
        <v>0.05</v>
      </c>
      <c r="H13" s="38">
        <f>+G13/$G$34</f>
        <v>2.2522522522522521E-2</v>
      </c>
      <c r="I13" s="3"/>
    </row>
    <row r="14" spans="1:9" x14ac:dyDescent="0.35">
      <c r="B14" s="7" t="s">
        <v>23</v>
      </c>
      <c r="D14" s="6"/>
      <c r="E14" s="6"/>
      <c r="F14" s="10"/>
      <c r="G14" s="10">
        <f>SUM(G11:G13)</f>
        <v>1.97</v>
      </c>
      <c r="H14" s="42">
        <f>+G14/$G$34</f>
        <v>0.88738738738738732</v>
      </c>
      <c r="I14" s="36"/>
    </row>
    <row r="15" spans="1:9" s="1" customFormat="1" x14ac:dyDescent="0.35">
      <c r="A15" s="16" t="s">
        <v>15</v>
      </c>
      <c r="B15" s="16"/>
      <c r="C15" s="16"/>
      <c r="D15" s="16"/>
      <c r="E15" s="20"/>
      <c r="F15" s="17"/>
      <c r="G15" s="18"/>
      <c r="H15" s="39"/>
      <c r="I15" s="16"/>
    </row>
    <row r="16" spans="1:9" x14ac:dyDescent="0.35">
      <c r="A16" s="19"/>
      <c r="B16" s="19"/>
      <c r="C16" s="19"/>
      <c r="D16" s="19"/>
      <c r="E16" s="20"/>
      <c r="F16" s="20"/>
      <c r="G16" s="21"/>
      <c r="H16" s="40"/>
      <c r="I16" s="19"/>
    </row>
    <row r="17" spans="1:9" x14ac:dyDescent="0.35">
      <c r="A17" s="19"/>
      <c r="B17" s="19"/>
      <c r="C17" s="19"/>
      <c r="D17" s="19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19"/>
      <c r="E18" s="20"/>
      <c r="F18" s="20"/>
      <c r="G18" s="21"/>
      <c r="H18" s="40"/>
      <c r="I18" s="19"/>
    </row>
    <row r="19" spans="1:9" x14ac:dyDescent="0.35">
      <c r="A19" s="19"/>
      <c r="B19" s="17" t="s">
        <v>24</v>
      </c>
      <c r="C19" s="19"/>
      <c r="D19" s="19"/>
      <c r="E19" s="20"/>
      <c r="F19" s="18"/>
      <c r="G19" s="18">
        <f>SUM(G16:G18)</f>
        <v>0</v>
      </c>
      <c r="H19" s="41">
        <f>+G19/$G$34</f>
        <v>0</v>
      </c>
      <c r="I19" s="22"/>
    </row>
    <row r="20" spans="1:9" s="1" customFormat="1" x14ac:dyDescent="0.35">
      <c r="A20" s="1" t="s">
        <v>16</v>
      </c>
      <c r="D20" s="7"/>
      <c r="E20" s="7"/>
      <c r="F20" s="7"/>
      <c r="G20" s="10"/>
      <c r="H20" s="4"/>
    </row>
    <row r="21" spans="1:9" x14ac:dyDescent="0.35">
      <c r="B21" t="s">
        <v>20</v>
      </c>
      <c r="C21" s="3" t="s">
        <v>19</v>
      </c>
      <c r="D21" s="77">
        <f>+'4(APU anidado)'!D21</f>
        <v>2</v>
      </c>
      <c r="E21" s="5">
        <v>3.46</v>
      </c>
      <c r="F21" s="57">
        <f>+'4(APU anidado)'!F21*'4(APU)'!$D$12</f>
        <v>1.8000000000000002E-2</v>
      </c>
      <c r="G21" s="5">
        <f t="shared" ref="G21:G22" si="0">ROUND(D21*E21*F21,2)</f>
        <v>0.12</v>
      </c>
      <c r="H21" s="38">
        <f>+G21/$G$34</f>
        <v>5.405405405405405E-2</v>
      </c>
      <c r="I21" s="34">
        <f>+D21*F21</f>
        <v>3.6000000000000004E-2</v>
      </c>
    </row>
    <row r="22" spans="1:9" x14ac:dyDescent="0.35">
      <c r="B22" t="s">
        <v>50</v>
      </c>
      <c r="C22" s="3" t="s">
        <v>19</v>
      </c>
      <c r="D22" s="77">
        <f>+'4(APU anidado)'!D22</f>
        <v>1</v>
      </c>
      <c r="E22" s="5">
        <v>4.29</v>
      </c>
      <c r="F22" s="57">
        <f>+'4(APU anidado)'!F22*'4(APU)'!$D$12</f>
        <v>1.8000000000000002E-2</v>
      </c>
      <c r="G22" s="5">
        <f t="shared" si="0"/>
        <v>0.08</v>
      </c>
      <c r="H22" s="38">
        <f t="shared" ref="H22" si="1">+G22/$G$34</f>
        <v>3.6036036036036036E-2</v>
      </c>
      <c r="I22" s="34">
        <f t="shared" ref="I22" si="2">+D22*F22</f>
        <v>1.8000000000000002E-2</v>
      </c>
    </row>
    <row r="23" spans="1:9" x14ac:dyDescent="0.35">
      <c r="B23" t="s">
        <v>21</v>
      </c>
      <c r="C23" s="3" t="s">
        <v>19</v>
      </c>
      <c r="D23" s="77">
        <f>+'4(APU anidado)'!D23</f>
        <v>1</v>
      </c>
      <c r="E23" s="5">
        <v>5.1100000000000003</v>
      </c>
      <c r="F23" s="57">
        <f>+'4(APU anidado)'!F23*'4(APU)'!$D$12</f>
        <v>5.4000000000000003E-3</v>
      </c>
      <c r="G23" s="5">
        <f>ROUND(D23*E23*F23,2)</f>
        <v>0.03</v>
      </c>
      <c r="H23" s="38">
        <f>+G23/$G$34</f>
        <v>1.3513513513513513E-2</v>
      </c>
      <c r="I23" s="34">
        <f>+D23*F23</f>
        <v>5.4000000000000003E-3</v>
      </c>
    </row>
    <row r="25" spans="1:9" x14ac:dyDescent="0.35">
      <c r="B25" s="7" t="s">
        <v>25</v>
      </c>
      <c r="D25" s="5">
        <f>SUM(D21:D23)</f>
        <v>4</v>
      </c>
      <c r="G25" s="10">
        <f>SUM(G21:G23)</f>
        <v>0.23</v>
      </c>
      <c r="H25" s="38">
        <f>+G25/$G$34</f>
        <v>0.1036036036036036</v>
      </c>
      <c r="I25" s="34">
        <f>SUM(I21:I23)</f>
        <v>5.9400000000000008E-2</v>
      </c>
    </row>
    <row r="26" spans="1:9" s="1" customFormat="1" x14ac:dyDescent="0.35">
      <c r="A26" s="16" t="s">
        <v>17</v>
      </c>
      <c r="B26" s="16"/>
      <c r="C26" s="16"/>
      <c r="D26" s="16"/>
      <c r="E26" s="17"/>
      <c r="F26" s="17"/>
      <c r="G26" s="18"/>
      <c r="H26" s="39"/>
      <c r="I26" s="16"/>
    </row>
    <row r="27" spans="1:9" x14ac:dyDescent="0.35">
      <c r="A27" s="19"/>
      <c r="B27" s="19"/>
      <c r="C27" s="19"/>
      <c r="D27" s="19"/>
      <c r="E27" s="20"/>
      <c r="F27" s="20"/>
      <c r="G27" s="21"/>
      <c r="H27" s="40"/>
      <c r="I27" s="19"/>
    </row>
    <row r="28" spans="1:9" x14ac:dyDescent="0.35">
      <c r="A28" s="19"/>
      <c r="B28" s="19"/>
      <c r="C28" s="19"/>
      <c r="D28" s="19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19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19"/>
      <c r="E30" s="19"/>
      <c r="F30" s="19"/>
      <c r="G30" s="23"/>
      <c r="H30" s="40"/>
      <c r="I30" s="19"/>
    </row>
    <row r="31" spans="1:9" x14ac:dyDescent="0.35">
      <c r="A31" s="19"/>
      <c r="B31" s="17" t="s">
        <v>26</v>
      </c>
      <c r="C31" s="19"/>
      <c r="D31" s="19"/>
      <c r="E31" s="19"/>
      <c r="F31" s="19"/>
      <c r="G31" s="18">
        <f>SUM(G27:G30)</f>
        <v>0</v>
      </c>
      <c r="H31" s="41">
        <f>+G31/$G$34</f>
        <v>0</v>
      </c>
      <c r="I31" s="22"/>
    </row>
    <row r="33" spans="5:9" x14ac:dyDescent="0.35">
      <c r="E33" s="13" t="s">
        <v>31</v>
      </c>
      <c r="F33" s="54">
        <v>1.7999999999999999E-2</v>
      </c>
      <c r="G33" s="76" t="s">
        <v>88</v>
      </c>
      <c r="H33" s="76"/>
      <c r="I33" s="76"/>
    </row>
    <row r="34" spans="5:9" x14ac:dyDescent="0.35">
      <c r="E34" s="1" t="s">
        <v>27</v>
      </c>
      <c r="G34" s="48">
        <f>+G9+G14+G19+G25+G31</f>
        <v>2.2200000000000002</v>
      </c>
      <c r="H34" s="50" t="s">
        <v>73</v>
      </c>
      <c r="I34" s="49"/>
    </row>
    <row r="35" spans="5:9" x14ac:dyDescent="0.35">
      <c r="E35" s="1" t="s">
        <v>28</v>
      </c>
      <c r="G35" s="8">
        <f>+ROUND(0.12*G34,2)</f>
        <v>0.27</v>
      </c>
    </row>
    <row r="36" spans="5:9" x14ac:dyDescent="0.35">
      <c r="E36" s="1" t="s">
        <v>29</v>
      </c>
      <c r="G36" s="10">
        <f>+G34+G35</f>
        <v>2.4900000000000002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508B-BD61-448B-95DB-4C54A2BD1455}">
  <dimension ref="A1:AC37"/>
  <sheetViews>
    <sheetView tabSelected="1" zoomScale="90" zoomScaleNormal="90" workbookViewId="0">
      <selection activeCell="F25" sqref="F25"/>
    </sheetView>
  </sheetViews>
  <sheetFormatPr baseColWidth="10" defaultRowHeight="14.5" x14ac:dyDescent="0.35"/>
  <cols>
    <col min="1" max="1" width="14.1796875" bestFit="1" customWidth="1"/>
    <col min="2" max="2" width="22.81640625" customWidth="1"/>
    <col min="4" max="4" width="11.453125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29" x14ac:dyDescent="0.35">
      <c r="A1" s="1" t="s">
        <v>2</v>
      </c>
      <c r="B1" t="s">
        <v>61</v>
      </c>
      <c r="H1" s="4" t="s">
        <v>3</v>
      </c>
      <c r="I1" t="s">
        <v>63</v>
      </c>
    </row>
    <row r="3" spans="1:29" x14ac:dyDescent="0.35">
      <c r="A3" s="1" t="s">
        <v>5</v>
      </c>
      <c r="B3" t="s">
        <v>6</v>
      </c>
    </row>
    <row r="5" spans="1:2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29" s="1" customFormat="1" x14ac:dyDescent="0.35">
      <c r="A6" s="1" t="s">
        <v>13</v>
      </c>
      <c r="G6" s="8"/>
      <c r="H6" s="4"/>
    </row>
    <row r="7" spans="1:29" x14ac:dyDescent="0.35">
      <c r="B7" t="s">
        <v>18</v>
      </c>
      <c r="C7" s="3" t="s">
        <v>19</v>
      </c>
      <c r="D7" s="47">
        <v>1</v>
      </c>
      <c r="E7" s="5">
        <v>0.5</v>
      </c>
      <c r="F7" s="51">
        <f>+M7</f>
        <v>0.63600000000000001</v>
      </c>
      <c r="G7" s="47">
        <f>+D7*E7*F7</f>
        <v>0.318</v>
      </c>
      <c r="H7" s="38">
        <f>+G7/$G$35</f>
        <v>2.2268012476249203E-2</v>
      </c>
      <c r="I7" s="12">
        <f>+D7*F7</f>
        <v>0.63600000000000001</v>
      </c>
      <c r="L7" s="6">
        <f>+'4(APU)'!I7+'4(APU anidado con cantidad)'!I7</f>
        <v>0.63600000000000001</v>
      </c>
      <c r="M7">
        <f>+L7/D7</f>
        <v>0.63600000000000001</v>
      </c>
      <c r="Z7">
        <f>('4(APU anidado)'!D7*'4(APU)'!$D$12)+'4(APU)'!D7</f>
        <v>1.04</v>
      </c>
      <c r="AA7" s="6">
        <f>+E7</f>
        <v>0.5</v>
      </c>
      <c r="AB7">
        <v>0.6</v>
      </c>
      <c r="AC7">
        <f>+Z7*AA7*AB7</f>
        <v>0.312</v>
      </c>
    </row>
    <row r="8" spans="1:29" x14ac:dyDescent="0.35">
      <c r="D8" s="6"/>
      <c r="E8" s="6"/>
      <c r="F8" s="6"/>
      <c r="G8" s="9"/>
      <c r="H8" s="38"/>
      <c r="I8" s="11"/>
    </row>
    <row r="9" spans="1:29" x14ac:dyDescent="0.35">
      <c r="B9" s="7" t="s">
        <v>22</v>
      </c>
      <c r="D9" s="6"/>
      <c r="F9" s="6"/>
      <c r="G9" s="10">
        <f>SUM(G7:G8)</f>
        <v>0.318</v>
      </c>
      <c r="H9" s="38">
        <f>+G9/$G$35</f>
        <v>2.2268012476249203E-2</v>
      </c>
      <c r="I9" s="12">
        <f>SUM(I7:I8)</f>
        <v>0.63600000000000001</v>
      </c>
    </row>
    <row r="10" spans="1:29" s="1" customFormat="1" x14ac:dyDescent="0.35">
      <c r="A10" s="1" t="s">
        <v>14</v>
      </c>
      <c r="D10" s="7"/>
      <c r="E10" s="7"/>
      <c r="F10" s="7"/>
      <c r="G10" s="10"/>
      <c r="H10" s="4"/>
    </row>
    <row r="11" spans="1:29" s="1" customFormat="1" x14ac:dyDescent="0.35">
      <c r="B11" s="37" t="s">
        <v>64</v>
      </c>
      <c r="C11" s="3" t="s">
        <v>65</v>
      </c>
      <c r="D11" s="5">
        <f>+'4(APU)'!D11</f>
        <v>13</v>
      </c>
      <c r="E11" s="5">
        <v>0.5</v>
      </c>
      <c r="F11" s="5"/>
      <c r="G11" s="5">
        <f>ROUND(D11*E11,2)</f>
        <v>6.5</v>
      </c>
      <c r="H11" s="38">
        <f>+G11/$G$35</f>
        <v>0.45516377703025102</v>
      </c>
      <c r="AC11" s="78">
        <f>+G11</f>
        <v>6.5</v>
      </c>
    </row>
    <row r="12" spans="1:29" s="37" customFormat="1" ht="45" customHeight="1" x14ac:dyDescent="0.35">
      <c r="B12" s="37" t="s">
        <v>69</v>
      </c>
      <c r="C12" s="3" t="s">
        <v>71</v>
      </c>
      <c r="D12" s="47">
        <f>10*'4(APU)'!D12</f>
        <v>0.2</v>
      </c>
      <c r="E12" s="5">
        <v>7.25</v>
      </c>
      <c r="F12" s="5"/>
      <c r="G12" s="5">
        <f>ROUND(D12*E12,2)</f>
        <v>1.45</v>
      </c>
      <c r="H12" s="38">
        <f>+G12/$G$35</f>
        <v>0.10153653487597908</v>
      </c>
      <c r="I12" s="3"/>
      <c r="AC12" s="78">
        <f>+G12</f>
        <v>1.45</v>
      </c>
    </row>
    <row r="13" spans="1:29" x14ac:dyDescent="0.35">
      <c r="B13" t="s">
        <v>70</v>
      </c>
      <c r="C13" s="2" t="s">
        <v>4</v>
      </c>
      <c r="D13" s="57">
        <f>1.15*'4(APU)'!$D$12</f>
        <v>2.3E-2</v>
      </c>
      <c r="E13" s="5">
        <v>20.5</v>
      </c>
      <c r="F13" s="5"/>
      <c r="G13" s="5">
        <f>ROUND(D13*E13,2)</f>
        <v>0.47</v>
      </c>
      <c r="H13" s="38">
        <f>+G13/$G$35</f>
        <v>3.2911842339110459E-2</v>
      </c>
      <c r="I13" s="3"/>
      <c r="AC13" s="78">
        <f>+G13</f>
        <v>0.47</v>
      </c>
    </row>
    <row r="14" spans="1:29" x14ac:dyDescent="0.35">
      <c r="B14" t="s">
        <v>67</v>
      </c>
      <c r="C14" s="2" t="s">
        <v>72</v>
      </c>
      <c r="D14" s="47">
        <f>250*'4(APU)'!$D$12</f>
        <v>5</v>
      </c>
      <c r="E14" s="5">
        <v>0.01</v>
      </c>
      <c r="F14" s="5"/>
      <c r="G14" s="5">
        <f>ROUND(D14*E14,2)</f>
        <v>0.05</v>
      </c>
      <c r="H14" s="38">
        <f>+G14/$G$35</f>
        <v>3.5012598233096237E-3</v>
      </c>
      <c r="I14" s="3"/>
      <c r="AC14" s="78">
        <f>+G14</f>
        <v>0.05</v>
      </c>
    </row>
    <row r="15" spans="1:29" x14ac:dyDescent="0.35">
      <c r="B15" s="7" t="s">
        <v>23</v>
      </c>
      <c r="D15" s="6"/>
      <c r="E15" s="6"/>
      <c r="F15" s="10"/>
      <c r="G15" s="10">
        <f>SUM(G11:G14)</f>
        <v>8.4700000000000006</v>
      </c>
      <c r="H15" s="42">
        <f>+G15/$G$35</f>
        <v>0.59311341406865026</v>
      </c>
      <c r="I15" s="36"/>
    </row>
    <row r="16" spans="1:29" s="1" customFormat="1" x14ac:dyDescent="0.35">
      <c r="A16" s="16" t="s">
        <v>15</v>
      </c>
      <c r="B16" s="16"/>
      <c r="C16" s="16"/>
      <c r="D16" s="16"/>
      <c r="E16" s="20"/>
      <c r="F16" s="17"/>
      <c r="G16" s="18"/>
      <c r="H16" s="39"/>
      <c r="I16" s="16"/>
    </row>
    <row r="17" spans="1:29" x14ac:dyDescent="0.35">
      <c r="A17" s="19"/>
      <c r="B17" s="19"/>
      <c r="C17" s="19"/>
      <c r="D17" s="19"/>
      <c r="E17" s="20"/>
      <c r="F17" s="20"/>
      <c r="G17" s="21"/>
      <c r="H17" s="40"/>
      <c r="I17" s="19"/>
    </row>
    <row r="18" spans="1:29" x14ac:dyDescent="0.35">
      <c r="A18" s="19"/>
      <c r="B18" s="19"/>
      <c r="C18" s="19"/>
      <c r="D18" s="19"/>
      <c r="E18" s="20"/>
      <c r="F18" s="20"/>
      <c r="G18" s="21"/>
      <c r="H18" s="40"/>
      <c r="I18" s="19"/>
    </row>
    <row r="19" spans="1:29" x14ac:dyDescent="0.35">
      <c r="A19" s="19"/>
      <c r="B19" s="19"/>
      <c r="C19" s="19"/>
      <c r="D19" s="19"/>
      <c r="E19" s="20"/>
      <c r="F19" s="20"/>
      <c r="G19" s="21"/>
      <c r="H19" s="40"/>
      <c r="I19" s="19"/>
    </row>
    <row r="20" spans="1:29" x14ac:dyDescent="0.35">
      <c r="A20" s="19"/>
      <c r="B20" s="17" t="s">
        <v>24</v>
      </c>
      <c r="C20" s="19"/>
      <c r="D20" s="19"/>
      <c r="E20" s="20"/>
      <c r="F20" s="18"/>
      <c r="G20" s="18">
        <f>SUM(G17:G19)</f>
        <v>0</v>
      </c>
      <c r="H20" s="41">
        <f>+G20/$G$35</f>
        <v>0</v>
      </c>
      <c r="I20" s="22"/>
    </row>
    <row r="21" spans="1:29" s="1" customFormat="1" x14ac:dyDescent="0.35">
      <c r="A21" s="1" t="s">
        <v>16</v>
      </c>
      <c r="D21" s="7"/>
      <c r="E21" s="7"/>
      <c r="F21" s="7"/>
      <c r="G21" s="10"/>
      <c r="H21" s="4"/>
    </row>
    <row r="22" spans="1:29" x14ac:dyDescent="0.35">
      <c r="B22" t="s">
        <v>20</v>
      </c>
      <c r="C22" s="3" t="s">
        <v>19</v>
      </c>
      <c r="D22" s="47">
        <v>1</v>
      </c>
      <c r="E22" s="5">
        <v>3.46</v>
      </c>
      <c r="F22" s="51">
        <f>+M22</f>
        <v>0.63600000000000001</v>
      </c>
      <c r="G22" s="47">
        <f>+D22*E22*F22</f>
        <v>2.2005599999999998</v>
      </c>
      <c r="H22" s="38">
        <f>+G22/$G$35</f>
        <v>0.15409464633564449</v>
      </c>
      <c r="I22" s="34">
        <f>+D22*F22</f>
        <v>0.63600000000000001</v>
      </c>
      <c r="L22">
        <f>+'4(APU)'!I21+'4(APU anidado con cantidad)'!I21</f>
        <v>0.63600000000000001</v>
      </c>
      <c r="M22">
        <f>+L22/D22</f>
        <v>0.63600000000000001</v>
      </c>
      <c r="Z22">
        <f>('4(APU anidado)'!D21*'4(APU)'!$D$12)+'4(APU)'!D21</f>
        <v>1.04</v>
      </c>
      <c r="AA22" s="6">
        <f>+E22</f>
        <v>3.46</v>
      </c>
      <c r="AB22">
        <v>0.6</v>
      </c>
      <c r="AC22">
        <f t="shared" ref="AC22:AC24" si="0">+Z22*AA22*AB22</f>
        <v>2.1590400000000001</v>
      </c>
    </row>
    <row r="23" spans="1:29" x14ac:dyDescent="0.35">
      <c r="B23" t="s">
        <v>50</v>
      </c>
      <c r="C23" s="3" t="s">
        <v>19</v>
      </c>
      <c r="D23" s="47">
        <v>1</v>
      </c>
      <c r="E23" s="5">
        <v>4.29</v>
      </c>
      <c r="F23" s="51">
        <f>+M23</f>
        <v>0.61799999999999999</v>
      </c>
      <c r="G23" s="47">
        <f>+D23*E23*F23</f>
        <v>2.6512199999999999</v>
      </c>
      <c r="H23" s="38">
        <f t="shared" ref="H23" si="1">+G23/$G$35</f>
        <v>0.18565220137509877</v>
      </c>
      <c r="I23" s="34">
        <f t="shared" ref="I23:I24" si="2">+D23*F23</f>
        <v>0.61799999999999999</v>
      </c>
      <c r="L23">
        <f>+'4(APU)'!I22+'4(APU anidado con cantidad)'!I22</f>
        <v>0.61799999999999999</v>
      </c>
      <c r="M23">
        <f t="shared" ref="M23:M24" si="3">+L23/D23</f>
        <v>0.61799999999999999</v>
      </c>
      <c r="Z23">
        <f>('4(APU anidado)'!D22*'4(APU)'!$D$12)+'4(APU)'!D22</f>
        <v>1.02</v>
      </c>
      <c r="AA23" s="6">
        <f>+E23</f>
        <v>4.29</v>
      </c>
      <c r="AB23">
        <v>0.6</v>
      </c>
      <c r="AC23">
        <f t="shared" si="0"/>
        <v>2.62548</v>
      </c>
    </row>
    <row r="24" spans="1:29" x14ac:dyDescent="0.35">
      <c r="B24" t="s">
        <v>21</v>
      </c>
      <c r="C24" s="3" t="s">
        <v>19</v>
      </c>
      <c r="D24" s="47">
        <v>1</v>
      </c>
      <c r="E24" s="5">
        <v>5.1100000000000003</v>
      </c>
      <c r="F24" s="51">
        <f>+M24</f>
        <v>0.12539999999999998</v>
      </c>
      <c r="G24" s="47">
        <f>+D24*E24*F24</f>
        <v>0.64079399999999997</v>
      </c>
      <c r="H24" s="38">
        <f>+G24/$G$35</f>
        <v>4.4871725744357334E-2</v>
      </c>
      <c r="I24" s="34">
        <f t="shared" si="2"/>
        <v>0.12539999999999998</v>
      </c>
      <c r="L24">
        <f>+'4(APU)'!I23+'4(APU anidado con cantidad)'!I23</f>
        <v>0.12539999999999998</v>
      </c>
      <c r="M24">
        <f t="shared" si="3"/>
        <v>0.12539999999999998</v>
      </c>
      <c r="Z24">
        <f>('4(APU anidado)'!D23*'4(APU)'!$D$12)+'4(APU)'!D23</f>
        <v>1.02</v>
      </c>
      <c r="AA24" s="6">
        <f>+E24</f>
        <v>5.1100000000000003</v>
      </c>
      <c r="AB24">
        <v>0.12</v>
      </c>
      <c r="AC24">
        <f t="shared" si="0"/>
        <v>0.62546400000000002</v>
      </c>
    </row>
    <row r="26" spans="1:29" x14ac:dyDescent="0.35">
      <c r="B26" s="7" t="s">
        <v>25</v>
      </c>
      <c r="D26" s="5">
        <f>SUM(D22:D24)</f>
        <v>3</v>
      </c>
      <c r="G26" s="10">
        <f>SUM(G22:G24)</f>
        <v>5.4925739999999994</v>
      </c>
      <c r="H26" s="38">
        <f>+G26/$G$35</f>
        <v>0.38461857345510059</v>
      </c>
      <c r="I26" s="34">
        <f>ROUND(SUM(I22:I24),2)</f>
        <v>1.38</v>
      </c>
    </row>
    <row r="27" spans="1:29" s="1" customFormat="1" x14ac:dyDescent="0.35">
      <c r="A27" s="16" t="s">
        <v>17</v>
      </c>
      <c r="B27" s="16"/>
      <c r="C27" s="16"/>
      <c r="D27" s="16"/>
      <c r="E27" s="17"/>
      <c r="F27" s="17"/>
      <c r="G27" s="18"/>
      <c r="H27" s="39"/>
      <c r="I27" s="16"/>
    </row>
    <row r="28" spans="1:29" x14ac:dyDescent="0.35">
      <c r="A28" s="19"/>
      <c r="B28" s="19"/>
      <c r="C28" s="19"/>
      <c r="D28" s="19"/>
      <c r="E28" s="20"/>
      <c r="F28" s="20"/>
      <c r="G28" s="21"/>
      <c r="H28" s="40"/>
      <c r="I28" s="19"/>
    </row>
    <row r="29" spans="1:29" x14ac:dyDescent="0.35">
      <c r="A29" s="19"/>
      <c r="B29" s="19"/>
      <c r="C29" s="19"/>
      <c r="D29" s="19"/>
      <c r="E29" s="20"/>
      <c r="F29" s="20"/>
      <c r="G29" s="21"/>
      <c r="H29" s="40"/>
      <c r="I29" s="19"/>
    </row>
    <row r="30" spans="1:29" x14ac:dyDescent="0.35">
      <c r="A30" s="19"/>
      <c r="B30" s="19"/>
      <c r="C30" s="19"/>
      <c r="D30" s="19"/>
      <c r="E30" s="20"/>
      <c r="F30" s="20"/>
      <c r="G30" s="21"/>
      <c r="H30" s="40"/>
      <c r="I30" s="19"/>
    </row>
    <row r="31" spans="1:29" x14ac:dyDescent="0.35">
      <c r="A31" s="19"/>
      <c r="B31" s="19"/>
      <c r="C31" s="19"/>
      <c r="D31" s="19"/>
      <c r="E31" s="19"/>
      <c r="F31" s="19"/>
      <c r="G31" s="23"/>
      <c r="H31" s="40"/>
      <c r="I31" s="19"/>
    </row>
    <row r="32" spans="1:29" x14ac:dyDescent="0.3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1">
        <f>+G32/$G$35</f>
        <v>0</v>
      </c>
      <c r="I32" s="22"/>
    </row>
    <row r="34" spans="5:9" ht="14.5" customHeight="1" x14ac:dyDescent="0.35">
      <c r="E34" s="13" t="s">
        <v>31</v>
      </c>
      <c r="F34" s="54">
        <v>0.30890000000000001</v>
      </c>
      <c r="G34" s="76" t="s">
        <v>88</v>
      </c>
      <c r="H34" s="76"/>
      <c r="I34" s="76"/>
    </row>
    <row r="35" spans="5:9" x14ac:dyDescent="0.35">
      <c r="E35" s="1" t="s">
        <v>27</v>
      </c>
      <c r="G35" s="48">
        <f>+G9+G15+G20+G26+G32</f>
        <v>14.280574</v>
      </c>
      <c r="H35" s="50" t="s">
        <v>73</v>
      </c>
      <c r="I35" s="49"/>
    </row>
    <row r="36" spans="5:9" x14ac:dyDescent="0.35">
      <c r="E36" s="1" t="s">
        <v>28</v>
      </c>
      <c r="G36" s="8">
        <f>+ROUND(0.12*G35,2)</f>
        <v>1.71</v>
      </c>
    </row>
    <row r="37" spans="5:9" x14ac:dyDescent="0.35">
      <c r="E37" s="1" t="s">
        <v>29</v>
      </c>
      <c r="G37" s="10">
        <f>+G35+G36</f>
        <v>15.990573999999999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3CE5-3823-454B-9677-16F957511218}">
  <dimension ref="A1:L39"/>
  <sheetViews>
    <sheetView workbookViewId="0">
      <selection activeCell="H13" sqref="H13"/>
    </sheetView>
  </sheetViews>
  <sheetFormatPr baseColWidth="10" defaultRowHeight="14.5" x14ac:dyDescent="0.35"/>
  <cols>
    <col min="1" max="1" width="14.1796875" bestFit="1" customWidth="1"/>
    <col min="2" max="2" width="20.453125" customWidth="1"/>
    <col min="5" max="5" width="20.81640625" bestFit="1" customWidth="1"/>
    <col min="6" max="6" width="15" bestFit="1" customWidth="1"/>
    <col min="7" max="7" width="11.453125" style="2"/>
    <col min="8" max="8" width="11.453125" style="3"/>
    <col min="10" max="10" width="11.453125" style="3"/>
    <col min="11" max="12" width="29" bestFit="1" customWidth="1"/>
  </cols>
  <sheetData>
    <row r="1" spans="1:12" x14ac:dyDescent="0.35">
      <c r="A1" s="1" t="s">
        <v>2</v>
      </c>
      <c r="B1" t="s">
        <v>62</v>
      </c>
      <c r="H1" s="4" t="s">
        <v>3</v>
      </c>
      <c r="I1" t="s">
        <v>4</v>
      </c>
    </row>
    <row r="3" spans="1:12" x14ac:dyDescent="0.35">
      <c r="A3" s="1" t="s">
        <v>5</v>
      </c>
      <c r="B3" t="s">
        <v>6</v>
      </c>
    </row>
    <row r="5" spans="1:12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  <c r="J5" s="4" t="s">
        <v>32</v>
      </c>
      <c r="K5" s="4" t="s">
        <v>58</v>
      </c>
      <c r="L5" s="4" t="s">
        <v>59</v>
      </c>
    </row>
    <row r="6" spans="1:12" s="1" customFormat="1" x14ac:dyDescent="0.35">
      <c r="A6" s="1" t="s">
        <v>13</v>
      </c>
      <c r="G6" s="8"/>
      <c r="H6" s="4"/>
      <c r="J6" s="4"/>
    </row>
    <row r="7" spans="1:12" x14ac:dyDescent="0.35">
      <c r="B7" t="s">
        <v>74</v>
      </c>
      <c r="C7" s="3" t="s">
        <v>19</v>
      </c>
      <c r="D7" s="5">
        <v>1</v>
      </c>
      <c r="E7" s="5">
        <v>20</v>
      </c>
      <c r="F7" s="30">
        <v>0.02</v>
      </c>
      <c r="G7" s="5">
        <f>ROUND(D7*E7*F7,2)</f>
        <v>0.4</v>
      </c>
      <c r="H7" s="38">
        <f>+G7/$G$35</f>
        <v>0.44444444444444448</v>
      </c>
      <c r="I7" s="12">
        <f>+D7*F7</f>
        <v>0.02</v>
      </c>
      <c r="J7" s="44">
        <f>ROUND(F7/$F$34,4)</f>
        <v>1</v>
      </c>
      <c r="K7" s="33">
        <f>+D7*J7</f>
        <v>1</v>
      </c>
      <c r="L7" s="12">
        <f>+ROUND(K7,2)</f>
        <v>1</v>
      </c>
    </row>
    <row r="8" spans="1:12" x14ac:dyDescent="0.35">
      <c r="C8" s="3"/>
      <c r="D8" s="9"/>
      <c r="E8" s="9"/>
      <c r="F8" s="30"/>
      <c r="G8" s="5"/>
      <c r="H8" s="38"/>
      <c r="I8" s="11"/>
    </row>
    <row r="9" spans="1:12" x14ac:dyDescent="0.35">
      <c r="D9" s="6"/>
      <c r="E9" s="6"/>
      <c r="F9" s="6"/>
      <c r="G9" s="9"/>
      <c r="H9" s="38"/>
      <c r="I9" s="11"/>
    </row>
    <row r="10" spans="1:12" x14ac:dyDescent="0.35">
      <c r="B10" s="7" t="s">
        <v>22</v>
      </c>
      <c r="D10" s="6"/>
      <c r="F10" s="12">
        <f>SUM(F7:F9)</f>
        <v>0.02</v>
      </c>
      <c r="G10" s="10">
        <f>SUM(G7:G9)</f>
        <v>0.4</v>
      </c>
      <c r="H10" s="38">
        <f>+G10/$G$35</f>
        <v>0.44444444444444448</v>
      </c>
      <c r="I10" s="12">
        <f>SUM(I7:I9)</f>
        <v>0.02</v>
      </c>
      <c r="L10" s="12">
        <f>SUM(L7:L9)</f>
        <v>1</v>
      </c>
    </row>
    <row r="11" spans="1:12" s="1" customFormat="1" x14ac:dyDescent="0.35">
      <c r="A11" s="1" t="s">
        <v>14</v>
      </c>
      <c r="D11" s="7"/>
      <c r="E11" s="7"/>
      <c r="F11" s="7"/>
      <c r="G11" s="10"/>
      <c r="H11" s="4"/>
      <c r="J11" s="4"/>
    </row>
    <row r="12" spans="1:12" s="37" customFormat="1" ht="58" x14ac:dyDescent="0.35">
      <c r="B12" s="55" t="s">
        <v>68</v>
      </c>
      <c r="C12" s="37" t="s">
        <v>4</v>
      </c>
      <c r="D12" s="5">
        <v>1</v>
      </c>
      <c r="E12" s="5">
        <v>0.4</v>
      </c>
      <c r="F12" s="5"/>
      <c r="G12" s="5">
        <f>ROUND(D12*E12,2)</f>
        <v>0.4</v>
      </c>
      <c r="H12" s="38">
        <f>+G12/$G$35</f>
        <v>0.44444444444444448</v>
      </c>
      <c r="I12" s="3"/>
      <c r="J12" s="3"/>
      <c r="L12" s="43" t="s">
        <v>57</v>
      </c>
    </row>
    <row r="13" spans="1:12" x14ac:dyDescent="0.35">
      <c r="D13" s="5"/>
      <c r="E13" s="5"/>
      <c r="F13" s="5"/>
      <c r="G13" s="5"/>
      <c r="I13" s="3"/>
      <c r="K13" s="3"/>
    </row>
    <row r="14" spans="1:12" x14ac:dyDescent="0.35">
      <c r="D14" s="5"/>
      <c r="E14" s="5"/>
      <c r="F14" s="5"/>
      <c r="G14" s="5"/>
      <c r="I14" s="3"/>
      <c r="K14" s="3"/>
    </row>
    <row r="15" spans="1:12" x14ac:dyDescent="0.35">
      <c r="B15" s="7" t="s">
        <v>23</v>
      </c>
      <c r="D15" s="6"/>
      <c r="E15" s="6"/>
      <c r="F15" s="10"/>
      <c r="G15" s="10">
        <f>SUM(G12:G14)</f>
        <v>0.4</v>
      </c>
      <c r="H15" s="42">
        <f>+G15/$G$35</f>
        <v>0.44444444444444448</v>
      </c>
      <c r="I15" s="36"/>
    </row>
    <row r="16" spans="1:12" s="1" customFormat="1" x14ac:dyDescent="0.35">
      <c r="A16" s="16" t="s">
        <v>15</v>
      </c>
      <c r="B16" s="16"/>
      <c r="C16" s="16"/>
      <c r="D16" s="17"/>
      <c r="E16" s="20"/>
      <c r="F16" s="17"/>
      <c r="G16" s="18"/>
      <c r="H16" s="39"/>
      <c r="I16" s="16"/>
      <c r="J16" s="39"/>
      <c r="K16" s="16"/>
    </row>
    <row r="17" spans="1:12" x14ac:dyDescent="0.35">
      <c r="A17" s="19"/>
      <c r="B17" s="19"/>
      <c r="C17" s="19"/>
      <c r="D17" s="20"/>
      <c r="E17" s="20"/>
      <c r="F17" s="20"/>
      <c r="G17" s="21"/>
      <c r="H17" s="40"/>
      <c r="I17" s="19"/>
      <c r="J17" s="40"/>
      <c r="K17" s="19"/>
    </row>
    <row r="18" spans="1:12" x14ac:dyDescent="0.35">
      <c r="A18" s="19"/>
      <c r="B18" s="19"/>
      <c r="C18" s="19"/>
      <c r="D18" s="20"/>
      <c r="E18" s="20"/>
      <c r="F18" s="20"/>
      <c r="G18" s="21"/>
      <c r="H18" s="40"/>
      <c r="I18" s="19"/>
      <c r="J18" s="40"/>
      <c r="K18" s="19"/>
    </row>
    <row r="19" spans="1:12" x14ac:dyDescent="0.35">
      <c r="A19" s="19"/>
      <c r="B19" s="19"/>
      <c r="C19" s="19"/>
      <c r="D19" s="20"/>
      <c r="E19" s="20"/>
      <c r="F19" s="20"/>
      <c r="G19" s="21"/>
      <c r="H19" s="40"/>
      <c r="I19" s="19"/>
      <c r="J19" s="40"/>
      <c r="K19" s="19"/>
    </row>
    <row r="20" spans="1:12" x14ac:dyDescent="0.3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1">
        <f>+G20/$G$35</f>
        <v>0</v>
      </c>
      <c r="I20" s="22"/>
      <c r="J20" s="40"/>
      <c r="K20" s="19"/>
    </row>
    <row r="21" spans="1:12" s="1" customFormat="1" x14ac:dyDescent="0.35">
      <c r="A21" s="1" t="s">
        <v>16</v>
      </c>
      <c r="D21" s="7"/>
      <c r="E21" s="7"/>
      <c r="F21" s="7"/>
      <c r="G21" s="10"/>
      <c r="H21" s="4"/>
      <c r="J21" s="4"/>
    </row>
    <row r="22" spans="1:12" x14ac:dyDescent="0.35">
      <c r="B22" t="s">
        <v>75</v>
      </c>
      <c r="C22" s="3" t="s">
        <v>19</v>
      </c>
      <c r="D22" s="5">
        <v>1</v>
      </c>
      <c r="E22" s="5">
        <v>5</v>
      </c>
      <c r="F22" s="30">
        <v>0.02</v>
      </c>
      <c r="G22" s="5">
        <f t="shared" ref="G22" si="0">ROUND(D22*E22*F22,2)</f>
        <v>0.1</v>
      </c>
      <c r="H22" s="38">
        <f>+G22/$G$35</f>
        <v>0.11111111111111112</v>
      </c>
      <c r="I22" s="34">
        <f>+D22*F22</f>
        <v>0.02</v>
      </c>
      <c r="J22" s="44">
        <f>ROUND(F22/$F$34,4)</f>
        <v>1</v>
      </c>
      <c r="K22" s="33">
        <f>+D22*J22</f>
        <v>1</v>
      </c>
      <c r="L22" s="12">
        <f>+ROUND(K22,2)</f>
        <v>1</v>
      </c>
    </row>
    <row r="26" spans="1:12" x14ac:dyDescent="0.35">
      <c r="B26" s="7" t="s">
        <v>25</v>
      </c>
      <c r="D26" s="5">
        <f>SUM(D22:D24)</f>
        <v>1</v>
      </c>
      <c r="F26" s="12">
        <f>SUM(F22:F24)</f>
        <v>0.02</v>
      </c>
      <c r="G26" s="10">
        <f>SUM(G22:G24)</f>
        <v>0.1</v>
      </c>
      <c r="H26" s="38">
        <f>+G26/$G$35</f>
        <v>0.11111111111111112</v>
      </c>
      <c r="I26" s="34">
        <f>SUM(I22:I24)</f>
        <v>0.02</v>
      </c>
      <c r="L26" s="34">
        <f>SUM(L22:L24)</f>
        <v>1</v>
      </c>
    </row>
    <row r="27" spans="1:12" s="1" customFormat="1" x14ac:dyDescent="0.35">
      <c r="A27" s="16" t="s">
        <v>17</v>
      </c>
      <c r="B27" s="16"/>
      <c r="C27" s="16"/>
      <c r="D27" s="17"/>
      <c r="E27" s="17"/>
      <c r="F27" s="17"/>
      <c r="G27" s="18"/>
      <c r="H27" s="39"/>
      <c r="I27" s="16"/>
      <c r="J27" s="39"/>
      <c r="K27" s="16"/>
    </row>
    <row r="28" spans="1:12" x14ac:dyDescent="0.35">
      <c r="A28" s="19"/>
      <c r="B28" s="19"/>
      <c r="C28" s="19"/>
      <c r="D28" s="20"/>
      <c r="E28" s="20"/>
      <c r="F28" s="20"/>
      <c r="G28" s="21"/>
      <c r="H28" s="40"/>
      <c r="I28" s="19"/>
      <c r="J28" s="40"/>
      <c r="K28" s="19"/>
    </row>
    <row r="29" spans="1:12" x14ac:dyDescent="0.35">
      <c r="A29" s="19"/>
      <c r="B29" s="19"/>
      <c r="C29" s="19"/>
      <c r="D29" s="20"/>
      <c r="E29" s="20"/>
      <c r="F29" s="20"/>
      <c r="G29" s="21"/>
      <c r="H29" s="40"/>
      <c r="I29" s="19"/>
      <c r="J29" s="40"/>
      <c r="K29" s="19"/>
    </row>
    <row r="30" spans="1:12" x14ac:dyDescent="0.35">
      <c r="A30" s="19"/>
      <c r="B30" s="19"/>
      <c r="C30" s="19"/>
      <c r="D30" s="20"/>
      <c r="E30" s="20"/>
      <c r="F30" s="20"/>
      <c r="G30" s="21"/>
      <c r="H30" s="40"/>
      <c r="I30" s="19"/>
      <c r="J30" s="40"/>
      <c r="K30" s="19"/>
    </row>
    <row r="31" spans="1:12" x14ac:dyDescent="0.35">
      <c r="A31" s="19"/>
      <c r="B31" s="19"/>
      <c r="C31" s="19"/>
      <c r="D31" s="19"/>
      <c r="E31" s="19"/>
      <c r="F31" s="19"/>
      <c r="G31" s="23"/>
      <c r="H31" s="40"/>
      <c r="I31" s="19"/>
      <c r="J31" s="40"/>
      <c r="K31" s="19"/>
    </row>
    <row r="32" spans="1:12" x14ac:dyDescent="0.3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1">
        <f>+G32/$G$35</f>
        <v>0</v>
      </c>
      <c r="I32" s="22"/>
      <c r="J32" s="40"/>
      <c r="K32" s="19"/>
    </row>
    <row r="34" spans="5:12" x14ac:dyDescent="0.35">
      <c r="E34" s="13" t="s">
        <v>31</v>
      </c>
      <c r="F34" s="35">
        <f>+IF(F26&gt;F10,F26,F10)</f>
        <v>0.02</v>
      </c>
      <c r="G34" s="74" t="s">
        <v>46</v>
      </c>
      <c r="H34" s="74"/>
      <c r="I34" s="74"/>
      <c r="J34" s="74"/>
      <c r="K34" s="74"/>
      <c r="L34" s="74"/>
    </row>
    <row r="35" spans="5:12" x14ac:dyDescent="0.35">
      <c r="E35" s="1" t="s">
        <v>27</v>
      </c>
      <c r="G35" s="10">
        <f>+G10+G15+G20+G26+G32</f>
        <v>0.9</v>
      </c>
    </row>
    <row r="36" spans="5:12" x14ac:dyDescent="0.35">
      <c r="E36" s="1" t="s">
        <v>28</v>
      </c>
      <c r="G36" s="8">
        <f>+ROUND(0.12*G35,2)</f>
        <v>0.11</v>
      </c>
    </row>
    <row r="37" spans="5:12" x14ac:dyDescent="0.35">
      <c r="E37" s="1" t="s">
        <v>29</v>
      </c>
      <c r="G37" s="10">
        <f>+G35+G36</f>
        <v>1.01</v>
      </c>
    </row>
    <row r="39" spans="5:12" x14ac:dyDescent="0.35">
      <c r="K39" s="45"/>
    </row>
  </sheetData>
  <mergeCells count="1">
    <mergeCell ref="G34:L3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1</vt:lpstr>
      <vt:lpstr>2</vt:lpstr>
      <vt:lpstr>3</vt:lpstr>
      <vt:lpstr>4(APU)</vt:lpstr>
      <vt:lpstr>4(APU anidado)</vt:lpstr>
      <vt:lpstr>4(APU anidado con cantidad)</vt:lpstr>
      <vt:lpstr>4(APU unificado)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</dc:creator>
  <cp:lastModifiedBy>Santiago Bermeo</cp:lastModifiedBy>
  <dcterms:created xsi:type="dcterms:W3CDTF">2023-08-17T22:06:09Z</dcterms:created>
  <dcterms:modified xsi:type="dcterms:W3CDTF">2026-06-23T19:17:10Z</dcterms:modified>
</cp:coreProperties>
</file>