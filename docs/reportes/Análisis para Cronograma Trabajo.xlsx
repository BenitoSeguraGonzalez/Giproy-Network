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Desktop\"/>
    </mc:Choice>
  </mc:AlternateContent>
  <xr:revisionPtr revIDLastSave="0" documentId="13_ncr:1_{5084840C-3D06-41F2-84D3-52C2F46D3044}" xr6:coauthVersionLast="47" xr6:coauthVersionMax="47" xr10:uidLastSave="{00000000-0000-0000-0000-000000000000}"/>
  <bookViews>
    <workbookView xWindow="-120" yWindow="-120" windowWidth="20730" windowHeight="11040" xr2:uid="{B66C8F03-ABB6-408D-9D5E-4B91685D8B21}"/>
  </bookViews>
  <sheets>
    <sheet name="Calculo" sheetId="2" r:id="rId1"/>
    <sheet name="6" sheetId="17" r:id="rId2"/>
    <sheet name="1" sheetId="1" r:id="rId3"/>
    <sheet name="2" sheetId="3" r:id="rId4"/>
    <sheet name="3" sheetId="4" r:id="rId5"/>
    <sheet name="4(APU)" sheetId="8" r:id="rId6"/>
    <sheet name="4(APU anidado)" sheetId="9" r:id="rId7"/>
    <sheet name="4(APU anidado con cantidad)" sheetId="12" r:id="rId8"/>
    <sheet name="4(APU unificado)" sheetId="13" r:id="rId9"/>
    <sheet name="5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2" l="1"/>
  <c r="U9" i="2" s="1"/>
  <c r="S9" i="2"/>
  <c r="Q9" i="2"/>
  <c r="P9" i="2"/>
  <c r="O9" i="2"/>
  <c r="N9" i="2"/>
  <c r="M9" i="2"/>
  <c r="L9" i="2"/>
  <c r="K9" i="2"/>
  <c r="J9" i="2"/>
  <c r="I9" i="2"/>
  <c r="H9" i="2"/>
  <c r="G9" i="2"/>
  <c r="F9" i="2"/>
  <c r="I23" i="17"/>
  <c r="J23" i="17"/>
  <c r="K23" i="17" s="1"/>
  <c r="L23" i="17" s="1"/>
  <c r="H23" i="17"/>
  <c r="G23" i="17"/>
  <c r="G17" i="17"/>
  <c r="G20" i="17" s="1"/>
  <c r="G32" i="17"/>
  <c r="F26" i="17"/>
  <c r="D26" i="17"/>
  <c r="I22" i="17"/>
  <c r="I26" i="17" s="1"/>
  <c r="G22" i="17"/>
  <c r="G15" i="17"/>
  <c r="F10" i="17"/>
  <c r="I7" i="17"/>
  <c r="I10" i="17" s="1"/>
  <c r="G7" i="17"/>
  <c r="G10" i="17" s="1"/>
  <c r="T8" i="2"/>
  <c r="Q8" i="2"/>
  <c r="O8" i="2"/>
  <c r="M8" i="2"/>
  <c r="L8" i="2"/>
  <c r="L6" i="2"/>
  <c r="K8" i="2"/>
  <c r="N8" i="2" s="1"/>
  <c r="P8" i="2" s="1"/>
  <c r="S8" i="2" s="1"/>
  <c r="U8" i="2" s="1"/>
  <c r="J8" i="2"/>
  <c r="G8" i="2"/>
  <c r="F8" i="2"/>
  <c r="H8" i="2" s="1"/>
  <c r="I8" i="2" s="1"/>
  <c r="G12" i="16"/>
  <c r="G15" i="16" s="1"/>
  <c r="G32" i="16"/>
  <c r="F26" i="16"/>
  <c r="D26" i="16"/>
  <c r="I22" i="16"/>
  <c r="I26" i="16" s="1"/>
  <c r="G22" i="16"/>
  <c r="G26" i="16" s="1"/>
  <c r="G20" i="16"/>
  <c r="F10" i="16"/>
  <c r="I10" i="16"/>
  <c r="I7" i="16"/>
  <c r="G7" i="16"/>
  <c r="G10" i="16" s="1"/>
  <c r="F23" i="13"/>
  <c r="F24" i="13"/>
  <c r="F22" i="13"/>
  <c r="G24" i="13"/>
  <c r="G23" i="13"/>
  <c r="G22" i="13"/>
  <c r="F7" i="13"/>
  <c r="G7" i="13"/>
  <c r="T7" i="2"/>
  <c r="Q7" i="2"/>
  <c r="K4" i="2"/>
  <c r="K5" i="2"/>
  <c r="K6" i="2"/>
  <c r="L5" i="2"/>
  <c r="L4" i="2"/>
  <c r="F23" i="12"/>
  <c r="F22" i="12"/>
  <c r="G22" i="12" s="1"/>
  <c r="F21" i="12"/>
  <c r="I21" i="12" s="1"/>
  <c r="F7" i="12"/>
  <c r="D24" i="13"/>
  <c r="D23" i="13"/>
  <c r="D22" i="13"/>
  <c r="D7" i="13"/>
  <c r="G7" i="12"/>
  <c r="G9" i="12" s="1"/>
  <c r="I23" i="12"/>
  <c r="G15" i="13"/>
  <c r="D11" i="13"/>
  <c r="G11" i="13" s="1"/>
  <c r="G32" i="13"/>
  <c r="G20" i="13"/>
  <c r="D14" i="13"/>
  <c r="G14" i="13" s="1"/>
  <c r="D13" i="13"/>
  <c r="G13" i="13" s="1"/>
  <c r="D12" i="13"/>
  <c r="G12" i="13" s="1"/>
  <c r="G31" i="12"/>
  <c r="G19" i="12"/>
  <c r="D13" i="12"/>
  <c r="G13" i="12" s="1"/>
  <c r="G12" i="12"/>
  <c r="D12" i="12"/>
  <c r="G11" i="12"/>
  <c r="D11" i="12"/>
  <c r="G13" i="9"/>
  <c r="G31" i="9"/>
  <c r="F25" i="9"/>
  <c r="F33" i="9" s="1"/>
  <c r="J22" i="9" s="1"/>
  <c r="K22" i="9" s="1"/>
  <c r="L22" i="9" s="1"/>
  <c r="D25" i="9"/>
  <c r="I23" i="9"/>
  <c r="G23" i="9"/>
  <c r="I22" i="9"/>
  <c r="G22" i="9"/>
  <c r="I21" i="9"/>
  <c r="G21" i="9"/>
  <c r="G19" i="9"/>
  <c r="G12" i="9"/>
  <c r="G11" i="9"/>
  <c r="F9" i="9"/>
  <c r="I7" i="9"/>
  <c r="I9" i="9" s="1"/>
  <c r="G7" i="9"/>
  <c r="G9" i="9" s="1"/>
  <c r="G12" i="8"/>
  <c r="G31" i="8"/>
  <c r="F25" i="8"/>
  <c r="F33" i="8" s="1"/>
  <c r="D25" i="8"/>
  <c r="I23" i="8"/>
  <c r="G23" i="8"/>
  <c r="I22" i="8"/>
  <c r="G22" i="8"/>
  <c r="I21" i="8"/>
  <c r="G21" i="8"/>
  <c r="G19" i="8"/>
  <c r="G11" i="8"/>
  <c r="G14" i="8" s="1"/>
  <c r="F9" i="8"/>
  <c r="I7" i="8"/>
  <c r="I9" i="8" s="1"/>
  <c r="G7" i="8"/>
  <c r="L26" i="3"/>
  <c r="L25" i="3"/>
  <c r="O4" i="2"/>
  <c r="L23" i="1"/>
  <c r="L22" i="1"/>
  <c r="L26" i="1" s="1"/>
  <c r="L7" i="1"/>
  <c r="L10" i="1" s="1"/>
  <c r="O5" i="2"/>
  <c r="L24" i="3"/>
  <c r="L23" i="3"/>
  <c r="L22" i="3"/>
  <c r="L7" i="3"/>
  <c r="L10" i="3" s="1"/>
  <c r="L26" i="4"/>
  <c r="L10" i="4"/>
  <c r="O6" i="2"/>
  <c r="K26" i="3"/>
  <c r="K10" i="3"/>
  <c r="K26" i="1"/>
  <c r="K10" i="1"/>
  <c r="J25" i="3"/>
  <c r="K25" i="3" s="1"/>
  <c r="J24" i="3"/>
  <c r="K24" i="3" s="1"/>
  <c r="J23" i="3"/>
  <c r="K23" i="3" s="1"/>
  <c r="J22" i="3"/>
  <c r="K22" i="3" s="1"/>
  <c r="J7" i="3"/>
  <c r="K7" i="3" s="1"/>
  <c r="J23" i="1"/>
  <c r="K23" i="1" s="1"/>
  <c r="J22" i="1"/>
  <c r="K22" i="1" s="1"/>
  <c r="K7" i="1"/>
  <c r="J7" i="1"/>
  <c r="T6" i="2"/>
  <c r="D6" i="2"/>
  <c r="G12" i="4"/>
  <c r="G15" i="4" s="1"/>
  <c r="G8" i="4"/>
  <c r="I8" i="4"/>
  <c r="C6" i="2"/>
  <c r="G32" i="4"/>
  <c r="F26" i="4"/>
  <c r="D26" i="4"/>
  <c r="I24" i="4"/>
  <c r="G24" i="4"/>
  <c r="I23" i="4"/>
  <c r="G23" i="4"/>
  <c r="I22" i="4"/>
  <c r="G22" i="4"/>
  <c r="G20" i="4"/>
  <c r="F10" i="4"/>
  <c r="I7" i="4"/>
  <c r="G7" i="4"/>
  <c r="G10" i="4" s="1"/>
  <c r="F34" i="1"/>
  <c r="F34" i="3"/>
  <c r="Q4" i="2"/>
  <c r="Q5" i="2"/>
  <c r="D26" i="1"/>
  <c r="M4" i="2"/>
  <c r="M5" i="2"/>
  <c r="I26" i="1"/>
  <c r="I23" i="1"/>
  <c r="I22" i="1"/>
  <c r="I10" i="1"/>
  <c r="I7" i="1"/>
  <c r="D26" i="3"/>
  <c r="I26" i="3"/>
  <c r="I23" i="3"/>
  <c r="I24" i="3"/>
  <c r="I25" i="3"/>
  <c r="I22" i="3"/>
  <c r="I10" i="3"/>
  <c r="I7" i="3"/>
  <c r="J5" i="2"/>
  <c r="D5" i="2"/>
  <c r="T5" i="2"/>
  <c r="D4" i="2"/>
  <c r="C5" i="2"/>
  <c r="C4" i="2"/>
  <c r="G23" i="3"/>
  <c r="G24" i="3"/>
  <c r="G32" i="3"/>
  <c r="F26" i="3"/>
  <c r="G25" i="3"/>
  <c r="G22" i="3"/>
  <c r="G20" i="3"/>
  <c r="G15" i="3"/>
  <c r="F10" i="3"/>
  <c r="G7" i="3"/>
  <c r="G10" i="3" s="1"/>
  <c r="T4" i="2"/>
  <c r="F34" i="17" l="1"/>
  <c r="J22" i="17" s="1"/>
  <c r="K22" i="17" s="1"/>
  <c r="L22" i="17" s="1"/>
  <c r="L26" i="17" s="1"/>
  <c r="G26" i="17"/>
  <c r="F34" i="16"/>
  <c r="J7" i="16"/>
  <c r="K7" i="16" s="1"/>
  <c r="L7" i="16" s="1"/>
  <c r="J22" i="16"/>
  <c r="K22" i="16" s="1"/>
  <c r="L22" i="16" s="1"/>
  <c r="L26" i="16" s="1"/>
  <c r="G35" i="16"/>
  <c r="H15" i="16" s="1"/>
  <c r="F9" i="12"/>
  <c r="G23" i="12"/>
  <c r="D26" i="13"/>
  <c r="F25" i="12"/>
  <c r="F33" i="12" s="1"/>
  <c r="I22" i="12"/>
  <c r="I7" i="12"/>
  <c r="G14" i="12"/>
  <c r="G21" i="12"/>
  <c r="D25" i="12"/>
  <c r="I25" i="9"/>
  <c r="J21" i="9"/>
  <c r="K21" i="9" s="1"/>
  <c r="L21" i="9" s="1"/>
  <c r="J23" i="9"/>
  <c r="K23" i="9" s="1"/>
  <c r="L23" i="9" s="1"/>
  <c r="J7" i="9"/>
  <c r="K7" i="9" s="1"/>
  <c r="L7" i="9" s="1"/>
  <c r="L9" i="9" s="1"/>
  <c r="G14" i="9"/>
  <c r="G25" i="9"/>
  <c r="J22" i="8"/>
  <c r="K22" i="8" s="1"/>
  <c r="L22" i="8" s="1"/>
  <c r="J7" i="8"/>
  <c r="K7" i="8" s="1"/>
  <c r="L7" i="8" s="1"/>
  <c r="L9" i="8" s="1"/>
  <c r="I25" i="8"/>
  <c r="J21" i="8"/>
  <c r="K21" i="8" s="1"/>
  <c r="L21" i="8" s="1"/>
  <c r="L25" i="8" s="1"/>
  <c r="J23" i="8"/>
  <c r="K23" i="8" s="1"/>
  <c r="L23" i="8" s="1"/>
  <c r="G25" i="8"/>
  <c r="G9" i="8"/>
  <c r="I10" i="4"/>
  <c r="J6" i="2"/>
  <c r="Q6" i="2"/>
  <c r="F34" i="4"/>
  <c r="G26" i="4"/>
  <c r="I26" i="4"/>
  <c r="G35" i="4"/>
  <c r="N5" i="2"/>
  <c r="P5" i="2" s="1"/>
  <c r="S5" i="2" s="1"/>
  <c r="U5" i="2"/>
  <c r="G26" i="3"/>
  <c r="G35" i="3" s="1"/>
  <c r="F26" i="1"/>
  <c r="F10" i="1"/>
  <c r="J4" i="2" s="1"/>
  <c r="N4" i="2" s="1"/>
  <c r="P4" i="2" s="1"/>
  <c r="S4" i="2" s="1"/>
  <c r="G32" i="1"/>
  <c r="G20" i="1"/>
  <c r="G15" i="1"/>
  <c r="G23" i="1"/>
  <c r="G22" i="1"/>
  <c r="G26" i="1" s="1"/>
  <c r="G7" i="1"/>
  <c r="G10" i="1" s="1"/>
  <c r="G35" i="1" s="1"/>
  <c r="J7" i="17" l="1"/>
  <c r="K7" i="17" s="1"/>
  <c r="L7" i="17" s="1"/>
  <c r="L10" i="17" s="1"/>
  <c r="G35" i="17"/>
  <c r="H17" i="17" s="1"/>
  <c r="H26" i="16"/>
  <c r="H10" i="16"/>
  <c r="H12" i="16"/>
  <c r="H7" i="16"/>
  <c r="H20" i="16"/>
  <c r="G36" i="16"/>
  <c r="G37" i="16" s="1"/>
  <c r="H32" i="16"/>
  <c r="H22" i="16"/>
  <c r="L10" i="16"/>
  <c r="I25" i="12"/>
  <c r="I9" i="12"/>
  <c r="J23" i="12"/>
  <c r="K23" i="12" s="1"/>
  <c r="L23" i="12" s="1"/>
  <c r="J22" i="12"/>
  <c r="K22" i="12" s="1"/>
  <c r="L22" i="12" s="1"/>
  <c r="J21" i="12"/>
  <c r="K21" i="12" s="1"/>
  <c r="L21" i="12" s="1"/>
  <c r="J7" i="12"/>
  <c r="K7" i="12" s="1"/>
  <c r="L7" i="12" s="1"/>
  <c r="L9" i="12" s="1"/>
  <c r="G25" i="12"/>
  <c r="G34" i="9"/>
  <c r="H13" i="9" s="1"/>
  <c r="H7" i="9"/>
  <c r="G35" i="9"/>
  <c r="G36" i="9" s="1"/>
  <c r="H12" i="9"/>
  <c r="H21" i="9"/>
  <c r="H9" i="9"/>
  <c r="H23" i="9"/>
  <c r="H19" i="9"/>
  <c r="H31" i="9"/>
  <c r="H22" i="9"/>
  <c r="H11" i="9"/>
  <c r="H25" i="9"/>
  <c r="H14" i="9"/>
  <c r="L25" i="9"/>
  <c r="G34" i="8"/>
  <c r="H12" i="8" s="1"/>
  <c r="H25" i="8"/>
  <c r="F6" i="2"/>
  <c r="M6" i="2"/>
  <c r="N6" i="2" s="1"/>
  <c r="P6" i="2" s="1"/>
  <c r="S6" i="2" s="1"/>
  <c r="U6" i="2" s="1"/>
  <c r="J7" i="4"/>
  <c r="K7" i="4" s="1"/>
  <c r="L7" i="4" s="1"/>
  <c r="J24" i="4"/>
  <c r="K24" i="4" s="1"/>
  <c r="L24" i="4" s="1"/>
  <c r="J8" i="4"/>
  <c r="K8" i="4" s="1"/>
  <c r="L8" i="4" s="1"/>
  <c r="J23" i="4"/>
  <c r="K23" i="4" s="1"/>
  <c r="L23" i="4" s="1"/>
  <c r="J22" i="4"/>
  <c r="K22" i="4"/>
  <c r="L22" i="4" s="1"/>
  <c r="H15" i="4"/>
  <c r="H12" i="4"/>
  <c r="H8" i="4"/>
  <c r="H7" i="4"/>
  <c r="H23" i="4"/>
  <c r="G36" i="4"/>
  <c r="H20" i="4"/>
  <c r="H32" i="4"/>
  <c r="H10" i="4"/>
  <c r="H22" i="4"/>
  <c r="H24" i="4"/>
  <c r="H26" i="4"/>
  <c r="F4" i="2"/>
  <c r="G36" i="1"/>
  <c r="H15" i="1"/>
  <c r="H20" i="1"/>
  <c r="H26" i="1"/>
  <c r="H32" i="1"/>
  <c r="H23" i="1"/>
  <c r="H7" i="1"/>
  <c r="H10" i="1"/>
  <c r="H22" i="1"/>
  <c r="U4" i="2"/>
  <c r="H26" i="3"/>
  <c r="F5" i="2"/>
  <c r="H23" i="3"/>
  <c r="H24" i="3"/>
  <c r="H20" i="3"/>
  <c r="H7" i="3"/>
  <c r="G36" i="3"/>
  <c r="H32" i="3"/>
  <c r="H25" i="3"/>
  <c r="H22" i="3"/>
  <c r="H10" i="3"/>
  <c r="H15" i="3"/>
  <c r="H32" i="17" l="1"/>
  <c r="H7" i="17"/>
  <c r="G36" i="17"/>
  <c r="G37" i="17" s="1"/>
  <c r="H15" i="17"/>
  <c r="H20" i="17"/>
  <c r="H10" i="17"/>
  <c r="H22" i="17"/>
  <c r="H26" i="17"/>
  <c r="L25" i="12"/>
  <c r="G34" i="12"/>
  <c r="H9" i="8"/>
  <c r="H31" i="8"/>
  <c r="H7" i="8"/>
  <c r="G35" i="8"/>
  <c r="G36" i="8" s="1"/>
  <c r="H21" i="8"/>
  <c r="H14" i="8"/>
  <c r="H23" i="8"/>
  <c r="H22" i="8"/>
  <c r="H11" i="8"/>
  <c r="H19" i="8"/>
  <c r="G37" i="4"/>
  <c r="G6" i="2"/>
  <c r="H6" i="2" s="1"/>
  <c r="I6" i="2" s="1"/>
  <c r="G37" i="1"/>
  <c r="G4" i="2"/>
  <c r="H4" i="2" s="1"/>
  <c r="I4" i="2" s="1"/>
  <c r="G37" i="3"/>
  <c r="G5" i="2"/>
  <c r="H5" i="2" s="1"/>
  <c r="I5" i="2" s="1"/>
  <c r="G35" i="12" l="1"/>
  <c r="G36" i="12" s="1"/>
  <c r="H19" i="12"/>
  <c r="H31" i="12"/>
  <c r="H23" i="12"/>
  <c r="H12" i="12"/>
  <c r="H13" i="12"/>
  <c r="H7" i="12"/>
  <c r="H22" i="12"/>
  <c r="H9" i="12"/>
  <c r="H11" i="12"/>
  <c r="H21" i="12"/>
  <c r="H14" i="12"/>
  <c r="H25" i="12"/>
  <c r="G9" i="13"/>
  <c r="I7" i="13" l="1"/>
  <c r="I9" i="13" s="1"/>
  <c r="K7" i="2" s="1"/>
  <c r="F9" i="13"/>
  <c r="J7" i="2" l="1"/>
  <c r="I24" i="13"/>
  <c r="F26" i="13"/>
  <c r="F34" i="13" s="1"/>
  <c r="I22" i="13"/>
  <c r="I23" i="13"/>
  <c r="I26" i="13" l="1"/>
  <c r="M7" i="2" s="1"/>
  <c r="N7" i="2" s="1"/>
  <c r="J24" i="13"/>
  <c r="K24" i="13" s="1"/>
  <c r="L24" i="13" s="1"/>
  <c r="J23" i="13"/>
  <c r="K23" i="13" s="1"/>
  <c r="L23" i="13" s="1"/>
  <c r="L7" i="2"/>
  <c r="G26" i="13"/>
  <c r="J7" i="13"/>
  <c r="K7" i="13" s="1"/>
  <c r="L7" i="13" s="1"/>
  <c r="L9" i="13" s="1"/>
  <c r="J22" i="13"/>
  <c r="K22" i="13" s="1"/>
  <c r="L22" i="13" s="1"/>
  <c r="L26" i="13" s="1"/>
  <c r="O7" i="2" l="1"/>
  <c r="P7" i="2" s="1"/>
  <c r="S7" i="2" s="1"/>
  <c r="U7" i="2" s="1"/>
  <c r="G35" i="13"/>
  <c r="H26" i="13" s="1"/>
  <c r="H14" i="13" l="1"/>
  <c r="H20" i="13"/>
  <c r="H12" i="13"/>
  <c r="H7" i="13"/>
  <c r="F7" i="2"/>
  <c r="H11" i="13"/>
  <c r="G36" i="13"/>
  <c r="G7" i="2" s="1"/>
  <c r="H13" i="13"/>
  <c r="H15" i="13"/>
  <c r="H9" i="13"/>
  <c r="H32" i="13"/>
  <c r="H23" i="13"/>
  <c r="H22" i="13"/>
  <c r="H24" i="13"/>
  <c r="G37" i="13" l="1"/>
  <c r="I7" i="2"/>
</calcChain>
</file>

<file path=xl/sharedStrings.xml><?xml version="1.0" encoding="utf-8"?>
<sst xmlns="http://schemas.openxmlformats.org/spreadsheetml/2006/main" count="434" uniqueCount="88">
  <si>
    <t>DESCRIPCIÓN</t>
  </si>
  <si>
    <t>Excavación manual, zanja 0-2 m, material sin clasificar</t>
  </si>
  <si>
    <t>DESCRIPCIÓN:</t>
  </si>
  <si>
    <t>UNIDAD:</t>
  </si>
  <si>
    <t>m3</t>
  </si>
  <si>
    <t>RENDIMIENTO:</t>
  </si>
  <si>
    <t>horas/unidad</t>
  </si>
  <si>
    <t>CODIGO</t>
  </si>
  <si>
    <t>UNIDAD</t>
  </si>
  <si>
    <t>CANTIDAD</t>
  </si>
  <si>
    <t>PRECIO</t>
  </si>
  <si>
    <t>RENDIMIENTO</t>
  </si>
  <si>
    <t>TOTAL</t>
  </si>
  <si>
    <t>EQUIPOS / HERRAMIENTAS</t>
  </si>
  <si>
    <t>MATERIALES</t>
  </si>
  <si>
    <t>TRANSPORTE</t>
  </si>
  <si>
    <t>MANO DE OBRA</t>
  </si>
  <si>
    <t>SEGURIDAD INDUSTRIAL</t>
  </si>
  <si>
    <t>Herramientas varias</t>
  </si>
  <si>
    <t>hora</t>
  </si>
  <si>
    <t>Peón</t>
  </si>
  <si>
    <t>Maestro de obra</t>
  </si>
  <si>
    <t>SUBTOTAL 1</t>
  </si>
  <si>
    <t>SUBTOTAL 2</t>
  </si>
  <si>
    <t>SUBTOTAL 3</t>
  </si>
  <si>
    <t>SUBTOTAL 4</t>
  </si>
  <si>
    <t>SUBTOTAL 5</t>
  </si>
  <si>
    <t>COSTO DIRECTO</t>
  </si>
  <si>
    <t>INDIRECTO (12%)</t>
  </si>
  <si>
    <t>COSTO TOTAL</t>
  </si>
  <si>
    <t>% COSTO</t>
  </si>
  <si>
    <t>DURACIÓN ACTIVIDAD</t>
  </si>
  <si>
    <t>% TIEMPO</t>
  </si>
  <si>
    <t>TABLA DE CÁLCULO DE DÍAS LABORABLES Y DÍAS CALENDARIO</t>
  </si>
  <si>
    <t>N°</t>
  </si>
  <si>
    <t>Item</t>
  </si>
  <si>
    <t>Descripción</t>
  </si>
  <si>
    <t>Unidad</t>
  </si>
  <si>
    <t>Cantidad</t>
  </si>
  <si>
    <t>P.Unitario</t>
  </si>
  <si>
    <t>P.Total</t>
  </si>
  <si>
    <t>Numero de Hombres en Cuadrilla</t>
  </si>
  <si>
    <t>Jornada Laboral
(horas)</t>
  </si>
  <si>
    <t>Dias útiles</t>
  </si>
  <si>
    <t>Factor de Conversión
(Días Mes / Días Laborables Mensual)</t>
  </si>
  <si>
    <t>Dias Calendario</t>
  </si>
  <si>
    <t>Costo Directo</t>
  </si>
  <si>
    <t>Costo Indirecto</t>
  </si>
  <si>
    <t>P. Unitario</t>
  </si>
  <si>
    <t>Se escoge el mayor rendimiento entre los totales del rendimiento de mano de obra y equipos y herramientas</t>
  </si>
  <si>
    <t>Trabajo 
Equipo / Herramientas
(h-EH)</t>
  </si>
  <si>
    <t>Rendimiento Unitario Total
Equipo / Herramienta
(h/u)</t>
  </si>
  <si>
    <t>Rendimiento Unitario Total
Mano de Obra
(h/u)</t>
  </si>
  <si>
    <t>Trabajo 
(h-H)</t>
  </si>
  <si>
    <t>Unidades de Recurso</t>
  </si>
  <si>
    <t>Excavación a máquina con retroexcavadora</t>
  </si>
  <si>
    <t>Retroexcavadora</t>
  </si>
  <si>
    <t>Albañil</t>
  </si>
  <si>
    <t>Operador</t>
  </si>
  <si>
    <t>TRABAJO TOTAL</t>
  </si>
  <si>
    <t>TRABAJO</t>
  </si>
  <si>
    <t>Relleno compactado con material de mejoramiento cribado</t>
  </si>
  <si>
    <t>Plancha vibratoria</t>
  </si>
  <si>
    <t>Mejoramiento cribado</t>
  </si>
  <si>
    <t>la cantidad del presupuesto multiplicado por la cantidad de cada material</t>
  </si>
  <si>
    <t>Unidades de Recurso Calculado</t>
  </si>
  <si>
    <t>Unidades de Recurso Asumido</t>
  </si>
  <si>
    <t>UNIDADES DE RECURSOS ASUMIDOS TOTALES</t>
  </si>
  <si>
    <t>Mampostería de bloque e=15cm</t>
  </si>
  <si>
    <t>Transporte de materiales hasta 6 km, incluye pago en escombrera</t>
  </si>
  <si>
    <t>m2</t>
  </si>
  <si>
    <t>Bloque de 40 × 20 × 15 cm</t>
  </si>
  <si>
    <t>u</t>
  </si>
  <si>
    <t>Mortero de cemento 1:3</t>
  </si>
  <si>
    <t>Agua</t>
  </si>
  <si>
    <t>Pago por concepto de disposición de materiales en escombrera</t>
  </si>
  <si>
    <t>Cemento</t>
  </si>
  <si>
    <t>Arena</t>
  </si>
  <si>
    <t>saco</t>
  </si>
  <si>
    <t>l</t>
  </si>
  <si>
    <t>Debe verificarse que este valor sea igual al que está en el precio unitario principal</t>
  </si>
  <si>
    <t>Volqueta 8m3</t>
  </si>
  <si>
    <t>Chofer de volqueta</t>
  </si>
  <si>
    <t>Duración
(horas)</t>
  </si>
  <si>
    <t>Cargado, transporte y descarga de encofrados</t>
  </si>
  <si>
    <t>Viaje 200 qq</t>
  </si>
  <si>
    <t>Transporte en camión capacidad de 200 qq</t>
  </si>
  <si>
    <t>flete hasta 6km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</si>
</sst>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8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0" fontId="0" fillId="0" borderId="0" xfId="1" applyNumberFormat="1" applyFont="1"/>
    <xf numFmtId="2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0" fontId="0" fillId="3" borderId="0" xfId="1" applyNumberFormat="1" applyFont="1" applyFill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0" fontId="2" fillId="0" borderId="0" xfId="0" applyFon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/>
    <xf numFmtId="10" fontId="0" fillId="0" borderId="0" xfId="1" applyNumberFormat="1" applyFont="1" applyFill="1"/>
    <xf numFmtId="0" fontId="0" fillId="0" borderId="0" xfId="0" applyAlignment="1">
      <alignment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10" fontId="2" fillId="2" borderId="0" xfId="1" applyNumberFormat="1" applyFont="1" applyFill="1" applyAlignment="1">
      <alignment horizontal="center" vertical="center"/>
    </xf>
    <xf numFmtId="164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2" fontId="2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left" vertical="center"/>
    </xf>
    <xf numFmtId="165" fontId="0" fillId="4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2" fontId="0" fillId="0" borderId="1" xfId="0" applyNumberFormat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horizontal="center"/>
    </xf>
  </cellXfs>
  <cellStyles count="3">
    <cellStyle name="Normal" xfId="0" builtinId="0"/>
    <cellStyle name="Normal 2" xfId="2" xr:uid="{C7276F1A-E636-4E7C-ABFA-D1389FE929C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C685-514C-40C4-B218-E7FA3521E151}">
  <dimension ref="A1:U12"/>
  <sheetViews>
    <sheetView tabSelected="1" workbookViewId="0">
      <selection activeCell="S11" sqref="S11"/>
    </sheetView>
  </sheetViews>
  <sheetFormatPr baseColWidth="10" defaultRowHeight="15" x14ac:dyDescent="0.25"/>
  <cols>
    <col min="1" max="1" width="3.140625" bestFit="1" customWidth="1"/>
    <col min="3" max="3" width="59.85546875" style="78" bestFit="1" customWidth="1"/>
    <col min="4" max="4" width="11.7109375" bestFit="1" customWidth="1"/>
    <col min="10" max="10" width="25.42578125" bestFit="1" customWidth="1"/>
    <col min="11" max="11" width="21" bestFit="1" customWidth="1"/>
    <col min="12" max="12" width="25.140625" customWidth="1"/>
    <col min="15" max="15" width="19.7109375" customWidth="1"/>
    <col min="16" max="16" width="15" customWidth="1"/>
    <col min="17" max="17" width="16.7109375" customWidth="1"/>
  </cols>
  <sheetData>
    <row r="1" spans="1:21" x14ac:dyDescent="0.2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1:21" ht="15" customHeight="1" x14ac:dyDescent="0.25">
      <c r="A2" s="72" t="s">
        <v>34</v>
      </c>
      <c r="B2" s="72" t="s">
        <v>35</v>
      </c>
      <c r="C2" s="76" t="s">
        <v>36</v>
      </c>
      <c r="D2" s="72" t="s">
        <v>37</v>
      </c>
      <c r="E2" s="72" t="s">
        <v>38</v>
      </c>
      <c r="F2" s="72" t="s">
        <v>39</v>
      </c>
      <c r="G2" s="72"/>
      <c r="H2" s="72"/>
      <c r="I2" s="72" t="s">
        <v>40</v>
      </c>
      <c r="J2" s="72" t="s">
        <v>51</v>
      </c>
      <c r="K2" s="72" t="s">
        <v>50</v>
      </c>
      <c r="L2" s="73" t="s">
        <v>52</v>
      </c>
      <c r="M2" s="73" t="s">
        <v>53</v>
      </c>
      <c r="N2" s="74" t="s">
        <v>59</v>
      </c>
      <c r="O2" s="74" t="s">
        <v>67</v>
      </c>
      <c r="P2" s="74" t="s">
        <v>83</v>
      </c>
      <c r="Q2" s="72" t="s">
        <v>41</v>
      </c>
      <c r="R2" s="72" t="s">
        <v>42</v>
      </c>
      <c r="S2" s="72" t="s">
        <v>43</v>
      </c>
      <c r="T2" s="72" t="s">
        <v>44</v>
      </c>
      <c r="U2" s="72" t="s">
        <v>45</v>
      </c>
    </row>
    <row r="3" spans="1:21" ht="30" x14ac:dyDescent="0.25">
      <c r="A3" s="72"/>
      <c r="B3" s="72"/>
      <c r="C3" s="76"/>
      <c r="D3" s="72"/>
      <c r="E3" s="72"/>
      <c r="F3" s="24" t="s">
        <v>46</v>
      </c>
      <c r="G3" s="24" t="s">
        <v>47</v>
      </c>
      <c r="H3" s="24" t="s">
        <v>48</v>
      </c>
      <c r="I3" s="72"/>
      <c r="J3" s="72"/>
      <c r="K3" s="72"/>
      <c r="L3" s="73"/>
      <c r="M3" s="73"/>
      <c r="N3" s="74"/>
      <c r="O3" s="74"/>
      <c r="P3" s="74"/>
      <c r="Q3" s="72"/>
      <c r="R3" s="72"/>
      <c r="S3" s="72"/>
      <c r="T3" s="72"/>
      <c r="U3" s="72"/>
    </row>
    <row r="4" spans="1:21" x14ac:dyDescent="0.25">
      <c r="A4" s="25"/>
      <c r="B4" s="25">
        <v>1</v>
      </c>
      <c r="C4" s="77" t="str">
        <f>+'1'!$B$1</f>
        <v>Excavación manual, zanja 0-2 m, material sin clasificar</v>
      </c>
      <c r="D4" s="25" t="str">
        <f>+'1'!$I$1</f>
        <v>m3</v>
      </c>
      <c r="E4" s="25">
        <v>1.55</v>
      </c>
      <c r="F4" s="26">
        <f>+'1'!$G$35</f>
        <v>8.94</v>
      </c>
      <c r="G4" s="26">
        <f>+'1'!$G$36</f>
        <v>1.07</v>
      </c>
      <c r="H4" s="26">
        <f>+F4+G4</f>
        <v>10.01</v>
      </c>
      <c r="I4" s="26">
        <f>+E4*H4</f>
        <v>15.515499999999999</v>
      </c>
      <c r="J4" s="27">
        <f>+'1'!$F$10</f>
        <v>2</v>
      </c>
      <c r="K4" s="26">
        <f>ROUND('1'!$I$10*Calculo!E4,2)</f>
        <v>3.1</v>
      </c>
      <c r="L4" s="65">
        <f>+'1'!F26</f>
        <v>2.2000000000000002</v>
      </c>
      <c r="M4" s="29">
        <f>ROUND('1'!$I$26*Calculo!E4,2)</f>
        <v>3.41</v>
      </c>
      <c r="N4" s="31">
        <f>+K4+M4</f>
        <v>6.51</v>
      </c>
      <c r="O4" s="32">
        <f>+'1'!L10+'1'!L26</f>
        <v>1.9100000000000001</v>
      </c>
      <c r="P4" s="32">
        <f>+N4/O4</f>
        <v>3.408376963350785</v>
      </c>
      <c r="Q4" s="26">
        <f>+'1'!$D$26</f>
        <v>2</v>
      </c>
      <c r="R4" s="25">
        <v>8</v>
      </c>
      <c r="S4" s="27">
        <f>ROUND(P4/R4,3)</f>
        <v>0.42599999999999999</v>
      </c>
      <c r="T4" s="25">
        <f>ROUND(30/22,2)</f>
        <v>1.36</v>
      </c>
      <c r="U4" s="25">
        <f>+S4*T4</f>
        <v>0.57935999999999999</v>
      </c>
    </row>
    <row r="5" spans="1:21" x14ac:dyDescent="0.25">
      <c r="A5" s="25"/>
      <c r="B5" s="25">
        <v>2</v>
      </c>
      <c r="C5" s="77" t="str">
        <f>+'2'!$B$1</f>
        <v>Excavación a máquina con retroexcavadora</v>
      </c>
      <c r="D5" s="25" t="str">
        <f>+'2'!$I$1</f>
        <v>m3</v>
      </c>
      <c r="E5" s="25">
        <v>2.5499999999999998</v>
      </c>
      <c r="F5" s="26">
        <f>+'2'!$G$35</f>
        <v>1.44</v>
      </c>
      <c r="G5" s="26">
        <f>+'2'!$G$36</f>
        <v>0.17</v>
      </c>
      <c r="H5" s="26">
        <f>+F5+G5</f>
        <v>1.6099999999999999</v>
      </c>
      <c r="I5" s="26">
        <f>+E5*H5</f>
        <v>4.1054999999999993</v>
      </c>
      <c r="J5" s="27">
        <f>+'2'!$F$10</f>
        <v>3.85E-2</v>
      </c>
      <c r="K5" s="26">
        <f>ROUND('2'!$I$10*Calculo!E5,2)</f>
        <v>0.1</v>
      </c>
      <c r="L5" s="65">
        <f>+'2'!F26</f>
        <v>0.13089999999999999</v>
      </c>
      <c r="M5" s="29">
        <f>ROUND('2'!$I$26*Calculo!E5,2)</f>
        <v>0.43</v>
      </c>
      <c r="N5" s="32">
        <f>+K5+M5</f>
        <v>0.53</v>
      </c>
      <c r="O5" s="32">
        <f>+'2'!L10+'2'!L26</f>
        <v>1.58</v>
      </c>
      <c r="P5" s="32">
        <f>+N5/O5</f>
        <v>0.33544303797468356</v>
      </c>
      <c r="Q5" s="26">
        <f>+'2'!$D$26</f>
        <v>5</v>
      </c>
      <c r="R5" s="25">
        <v>8</v>
      </c>
      <c r="S5" s="27">
        <f t="shared" ref="S5:S8" si="0">ROUND(P5/R5,3)</f>
        <v>4.2000000000000003E-2</v>
      </c>
      <c r="T5" s="25">
        <f>ROUND(30/22,2)</f>
        <v>1.36</v>
      </c>
      <c r="U5" s="25">
        <f>+S5*T5</f>
        <v>5.7120000000000011E-2</v>
      </c>
    </row>
    <row r="6" spans="1:21" x14ac:dyDescent="0.25">
      <c r="A6" s="25"/>
      <c r="B6" s="25">
        <v>3</v>
      </c>
      <c r="C6" s="77" t="str">
        <f>+'3'!$B$1</f>
        <v>Relleno compactado con material de mejoramiento cribado</v>
      </c>
      <c r="D6" s="25" t="str">
        <f>+'3'!$I$1</f>
        <v>m3</v>
      </c>
      <c r="E6" s="25">
        <v>7.89</v>
      </c>
      <c r="F6" s="26">
        <f>+'3'!$G$35</f>
        <v>25.35</v>
      </c>
      <c r="G6" s="26">
        <f>+'3'!$G$36</f>
        <v>3.04</v>
      </c>
      <c r="H6" s="26">
        <f>+F6+G6</f>
        <v>28.39</v>
      </c>
      <c r="I6" s="26">
        <f>+E6*H6</f>
        <v>223.99709999999999</v>
      </c>
      <c r="J6" s="27">
        <f>+'3'!$F$10</f>
        <v>1.2</v>
      </c>
      <c r="K6" s="26">
        <f>ROUND('3'!$I$10*Calculo!E6,2)</f>
        <v>9.4700000000000006</v>
      </c>
      <c r="L6" s="65">
        <f>+'3'!$F$26</f>
        <v>1.3199999999999998</v>
      </c>
      <c r="M6" s="29">
        <f>ROUND('3'!$I$26*Calculo!E6,2)</f>
        <v>10.41</v>
      </c>
      <c r="N6" s="32">
        <f>+K6+M6</f>
        <v>19.880000000000003</v>
      </c>
      <c r="O6" s="32">
        <f>+'3'!$L$10+'3'!$L$26</f>
        <v>1.8900000000000001</v>
      </c>
      <c r="P6" s="32">
        <f>+N6/O6</f>
        <v>10.518518518518519</v>
      </c>
      <c r="Q6" s="26">
        <f>+'3'!$D$26</f>
        <v>3</v>
      </c>
      <c r="R6" s="25">
        <v>8</v>
      </c>
      <c r="S6" s="27">
        <f t="shared" si="0"/>
        <v>1.3149999999999999</v>
      </c>
      <c r="T6" s="25">
        <f>ROUND(30/22,2)</f>
        <v>1.36</v>
      </c>
      <c r="U6" s="25">
        <f>+S6*T6</f>
        <v>1.7884</v>
      </c>
    </row>
    <row r="7" spans="1:21" x14ac:dyDescent="0.25">
      <c r="A7" s="25"/>
      <c r="B7" s="25">
        <v>4</v>
      </c>
      <c r="C7" s="77" t="s">
        <v>68</v>
      </c>
      <c r="D7" s="55" t="s">
        <v>70</v>
      </c>
      <c r="E7" s="63">
        <v>101.75</v>
      </c>
      <c r="F7" s="68">
        <f>+'4(APU unificado)'!G35</f>
        <v>14.280000000000001</v>
      </c>
      <c r="G7" s="64">
        <f>+'4(APU unificado)'!G36</f>
        <v>1.71</v>
      </c>
      <c r="H7" s="26">
        <v>1</v>
      </c>
      <c r="I7" s="26">
        <f>+E7*H7</f>
        <v>101.75</v>
      </c>
      <c r="J7" s="27">
        <f>+'4(APU unificado)'!F9</f>
        <v>0.21333333333333335</v>
      </c>
      <c r="K7" s="64">
        <f>ROUND('4(APU unificado)'!I9*Calculo!E7,2)</f>
        <v>65.12</v>
      </c>
      <c r="L7" s="65">
        <f>+'4(APU unificado)'!F26</f>
        <v>0.5834261681517996</v>
      </c>
      <c r="M7" s="29">
        <f>ROUND('4(APU unificado)'!I26*Calculo!E7,2)</f>
        <v>140.41999999999999</v>
      </c>
      <c r="N7" s="32">
        <f>+K7+M7</f>
        <v>205.54</v>
      </c>
      <c r="O7" s="32">
        <f>+'4(APU unificado)'!L9+'4(APU unificado)'!L26</f>
        <v>3.4600000000000004</v>
      </c>
      <c r="P7" s="32">
        <f>+N7/O7</f>
        <v>59.404624277456641</v>
      </c>
      <c r="Q7" s="26">
        <f>+'4(APU unificado)'!D26</f>
        <v>7</v>
      </c>
      <c r="R7" s="25">
        <v>8</v>
      </c>
      <c r="S7" s="27">
        <f t="shared" si="0"/>
        <v>7.4260000000000002</v>
      </c>
      <c r="T7" s="25">
        <f>ROUND(30/22,2)</f>
        <v>1.36</v>
      </c>
      <c r="U7" s="25">
        <f>+S7*T7</f>
        <v>10.099360000000001</v>
      </c>
    </row>
    <row r="8" spans="1:21" x14ac:dyDescent="0.25">
      <c r="A8" s="25"/>
      <c r="B8" s="25">
        <v>5</v>
      </c>
      <c r="C8" s="77" t="s">
        <v>69</v>
      </c>
      <c r="D8" s="55" t="s">
        <v>4</v>
      </c>
      <c r="E8" s="63">
        <v>1003.64</v>
      </c>
      <c r="F8" s="26">
        <f>+'5'!G35</f>
        <v>0.9</v>
      </c>
      <c r="G8" s="25">
        <f>+'5'!G36</f>
        <v>0.11</v>
      </c>
      <c r="H8" s="26">
        <f>+F8+G8</f>
        <v>1.01</v>
      </c>
      <c r="I8" s="26">
        <f>+E8*H8</f>
        <v>1013.6763999999999</v>
      </c>
      <c r="J8" s="27">
        <f>+'5'!$F$10</f>
        <v>0.02</v>
      </c>
      <c r="K8" s="26">
        <f>ROUND('5'!$I$10*Calculo!E8,2)</f>
        <v>20.07</v>
      </c>
      <c r="L8" s="65">
        <f>+'5'!$F$26</f>
        <v>0.02</v>
      </c>
      <c r="M8" s="29">
        <f>ROUND('5'!$I$26*Calculo!E8,2)</f>
        <v>20.07</v>
      </c>
      <c r="N8" s="32">
        <f>+K8+M8</f>
        <v>40.14</v>
      </c>
      <c r="O8" s="32">
        <f>+'5'!$L$10+'5'!$L$26</f>
        <v>2</v>
      </c>
      <c r="P8" s="32">
        <f>+N8/O8</f>
        <v>20.07</v>
      </c>
      <c r="Q8" s="26">
        <f>+'5'!$D$26</f>
        <v>1</v>
      </c>
      <c r="R8" s="25">
        <v>8</v>
      </c>
      <c r="S8" s="27">
        <f t="shared" si="0"/>
        <v>2.5089999999999999</v>
      </c>
      <c r="T8" s="25">
        <f>ROUND(30/22,2)</f>
        <v>1.36</v>
      </c>
      <c r="U8" s="25">
        <f>+S8*T8</f>
        <v>3.4122400000000002</v>
      </c>
    </row>
    <row r="9" spans="1:21" x14ac:dyDescent="0.25">
      <c r="A9" s="25"/>
      <c r="B9" s="25">
        <v>6</v>
      </c>
      <c r="C9" s="79" t="s">
        <v>84</v>
      </c>
      <c r="D9" s="25" t="s">
        <v>85</v>
      </c>
      <c r="E9" s="63">
        <v>41.21</v>
      </c>
      <c r="F9" s="26">
        <f>+'6'!G35</f>
        <v>75.580000000000013</v>
      </c>
      <c r="G9" s="25">
        <f>+'6'!G36</f>
        <v>9.07</v>
      </c>
      <c r="H9" s="26">
        <f>+F9+G9</f>
        <v>84.65</v>
      </c>
      <c r="I9" s="26">
        <f>+E9*H9</f>
        <v>3488.4265000000005</v>
      </c>
      <c r="J9" s="27">
        <f>+'6'!$F$10</f>
        <v>4.4000000000000004</v>
      </c>
      <c r="K9" s="26">
        <f>ROUND('6'!$I$10*Calculo!E9,2)</f>
        <v>181.32</v>
      </c>
      <c r="L9" s="65">
        <f>+'6'!$F$26</f>
        <v>2.5249999999999999</v>
      </c>
      <c r="M9" s="29">
        <f>ROUND('6'!$I$26*Calculo!E9,2)</f>
        <v>516.16</v>
      </c>
      <c r="N9" s="32">
        <f>+K9+M9</f>
        <v>697.48</v>
      </c>
      <c r="O9" s="32">
        <f>+'6'!$L$10+'6'!$L$26</f>
        <v>3.8499999999999996</v>
      </c>
      <c r="P9" s="32">
        <f>+N9/O9</f>
        <v>181.16363636363639</v>
      </c>
      <c r="Q9" s="26">
        <f>+'6'!$D$26</f>
        <v>6</v>
      </c>
      <c r="R9" s="25">
        <v>8</v>
      </c>
      <c r="S9" s="27">
        <f t="shared" ref="S9" si="1">ROUND(P9/R9,3)</f>
        <v>22.645</v>
      </c>
      <c r="T9" s="25">
        <f>ROUND(30/22,2)</f>
        <v>1.36</v>
      </c>
      <c r="U9" s="25">
        <f>+S9*T9</f>
        <v>30.7972</v>
      </c>
    </row>
    <row r="11" spans="1:21" x14ac:dyDescent="0.25">
      <c r="N11" s="6"/>
    </row>
    <row r="12" spans="1:21" x14ac:dyDescent="0.25">
      <c r="I12" s="6"/>
    </row>
  </sheetData>
  <mergeCells count="20">
    <mergeCell ref="N2:N3"/>
    <mergeCell ref="O2:O3"/>
    <mergeCell ref="P2:P3"/>
    <mergeCell ref="U2:U3"/>
    <mergeCell ref="A1:U1"/>
    <mergeCell ref="A2:A3"/>
    <mergeCell ref="B2:B3"/>
    <mergeCell ref="C2:C3"/>
    <mergeCell ref="D2:D3"/>
    <mergeCell ref="E2:E3"/>
    <mergeCell ref="F2:H2"/>
    <mergeCell ref="I2:I3"/>
    <mergeCell ref="L2:L3"/>
    <mergeCell ref="M2:M3"/>
    <mergeCell ref="Q2:Q3"/>
    <mergeCell ref="R2:R3"/>
    <mergeCell ref="S2:S3"/>
    <mergeCell ref="T2:T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A2A9-D1DD-4289-9950-844CB3B28E91}">
  <dimension ref="A1:P39"/>
  <sheetViews>
    <sheetView topLeftCell="A7" workbookViewId="0">
      <selection activeCell="F23" sqref="F23"/>
    </sheetView>
  </sheetViews>
  <sheetFormatPr baseColWidth="10" defaultRowHeight="15" x14ac:dyDescent="0.25"/>
  <cols>
    <col min="1" max="1" width="14.140625" bestFit="1" customWidth="1"/>
    <col min="2" max="2" width="20.140625" customWidth="1"/>
    <col min="3" max="3" width="14.5703125" bestFit="1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84</v>
      </c>
      <c r="H1" s="4" t="s">
        <v>3</v>
      </c>
      <c r="I1" t="s">
        <v>4</v>
      </c>
    </row>
    <row r="3" spans="1:12" x14ac:dyDescent="0.25">
      <c r="A3" s="1" t="s">
        <v>5</v>
      </c>
      <c r="B3" t="s">
        <v>85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18</v>
      </c>
      <c r="C7" s="3" t="s">
        <v>19</v>
      </c>
      <c r="D7" s="5">
        <v>1</v>
      </c>
      <c r="E7" s="5">
        <v>0.5</v>
      </c>
      <c r="F7" s="30">
        <v>4.4000000000000004</v>
      </c>
      <c r="G7" s="5">
        <f>ROUND(D7*E7*F7,2)</f>
        <v>2.2000000000000002</v>
      </c>
      <c r="H7" s="45">
        <f>+G7/$G$35</f>
        <v>2.9108229690394283E-2</v>
      </c>
      <c r="I7" s="12">
        <f>+D7*F7</f>
        <v>4.4000000000000004</v>
      </c>
      <c r="J7" s="53">
        <f>ROUND(F7/$F$34,4)</f>
        <v>1</v>
      </c>
      <c r="K7" s="33">
        <f>+D7*J7</f>
        <v>1</v>
      </c>
      <c r="L7" s="12">
        <f>+ROUND(K7,2)</f>
        <v>1</v>
      </c>
    </row>
    <row r="8" spans="1:12" x14ac:dyDescent="0.25">
      <c r="C8" s="3"/>
      <c r="D8" s="9"/>
      <c r="E8" s="9"/>
      <c r="F8" s="30"/>
      <c r="G8" s="5"/>
      <c r="H8" s="45"/>
      <c r="I8" s="11"/>
    </row>
    <row r="9" spans="1:12" x14ac:dyDescent="0.25">
      <c r="D9" s="6"/>
      <c r="E9" s="6"/>
      <c r="F9" s="6"/>
      <c r="G9" s="9"/>
      <c r="H9" s="45"/>
      <c r="I9" s="11"/>
    </row>
    <row r="10" spans="1:12" x14ac:dyDescent="0.25">
      <c r="B10" s="7" t="s">
        <v>22</v>
      </c>
      <c r="D10" s="6"/>
      <c r="F10" s="12">
        <f>SUM(F7:F9)</f>
        <v>4.4000000000000004</v>
      </c>
      <c r="G10" s="10">
        <f>SUM(G7:G9)</f>
        <v>2.2000000000000002</v>
      </c>
      <c r="H10" s="45">
        <f>+G10/$G$35</f>
        <v>2.9108229690394283E-2</v>
      </c>
      <c r="I10" s="12">
        <f>SUM(I7:I9)</f>
        <v>4.4000000000000004</v>
      </c>
      <c r="L10" s="12">
        <f>SUM(L7:L9)</f>
        <v>1</v>
      </c>
    </row>
    <row r="11" spans="1:12" s="1" customFormat="1" x14ac:dyDescent="0.25">
      <c r="A11" s="36" t="s">
        <v>14</v>
      </c>
      <c r="B11" s="36"/>
      <c r="C11" s="36"/>
      <c r="D11" s="37"/>
      <c r="E11" s="37"/>
      <c r="F11" s="37"/>
      <c r="G11" s="38"/>
      <c r="H11" s="49"/>
      <c r="I11" s="36"/>
      <c r="J11" s="49"/>
      <c r="K11" s="36"/>
    </row>
    <row r="12" spans="1:12" s="42" customFormat="1" x14ac:dyDescent="0.25">
      <c r="A12" s="51"/>
      <c r="B12" s="67"/>
      <c r="C12" s="51"/>
      <c r="D12" s="43"/>
      <c r="E12" s="43"/>
      <c r="F12" s="43"/>
      <c r="G12" s="5"/>
      <c r="H12" s="45"/>
      <c r="I12" s="44"/>
      <c r="J12" s="44"/>
      <c r="L12" s="52"/>
    </row>
    <row r="13" spans="1:12" x14ac:dyDescent="0.25">
      <c r="A13" s="39"/>
      <c r="B13" s="39"/>
      <c r="C13" s="39"/>
      <c r="D13" s="43"/>
      <c r="E13" s="43"/>
      <c r="F13" s="43"/>
      <c r="G13" s="43"/>
      <c r="H13" s="44"/>
      <c r="I13" s="44"/>
      <c r="J13" s="44"/>
      <c r="K13" s="44"/>
    </row>
    <row r="14" spans="1:12" x14ac:dyDescent="0.25">
      <c r="A14" s="39"/>
      <c r="B14" s="39"/>
      <c r="C14" s="39"/>
      <c r="D14" s="43"/>
      <c r="E14" s="43"/>
      <c r="F14" s="43"/>
      <c r="G14" s="43"/>
      <c r="H14" s="44"/>
      <c r="I14" s="44"/>
      <c r="J14" s="44"/>
      <c r="K14" s="44"/>
    </row>
    <row r="15" spans="1:12" x14ac:dyDescent="0.25">
      <c r="A15" s="39"/>
      <c r="B15" s="37" t="s">
        <v>23</v>
      </c>
      <c r="C15" s="39"/>
      <c r="D15" s="40"/>
      <c r="E15" s="40"/>
      <c r="F15" s="38"/>
      <c r="G15" s="38">
        <f>SUM(G12:G14)</f>
        <v>0</v>
      </c>
      <c r="H15" s="50">
        <f>+G15/$G$35</f>
        <v>0</v>
      </c>
      <c r="I15" s="41"/>
      <c r="J15" s="44"/>
      <c r="K15" s="39"/>
    </row>
    <row r="16" spans="1:12" s="36" customFormat="1" x14ac:dyDescent="0.25">
      <c r="A16" s="36" t="s">
        <v>15</v>
      </c>
      <c r="D16" s="37"/>
      <c r="E16" s="40"/>
      <c r="F16" s="37"/>
      <c r="G16" s="38"/>
      <c r="H16" s="49"/>
      <c r="J16" s="49"/>
    </row>
    <row r="17" spans="1:12" s="39" customFormat="1" ht="45" x14ac:dyDescent="0.25">
      <c r="B17" s="80" t="s">
        <v>86</v>
      </c>
      <c r="C17" s="44" t="s">
        <v>87</v>
      </c>
      <c r="D17" s="43">
        <v>1</v>
      </c>
      <c r="E17" s="43">
        <v>30</v>
      </c>
      <c r="F17" s="43">
        <v>1</v>
      </c>
      <c r="G17" s="43">
        <f>+D17*E17*F17</f>
        <v>30</v>
      </c>
      <c r="H17" s="50">
        <f>+G17/$G$35</f>
        <v>0.39693040486901288</v>
      </c>
      <c r="J17" s="44"/>
    </row>
    <row r="18" spans="1:12" s="39" customFormat="1" x14ac:dyDescent="0.25">
      <c r="D18" s="40"/>
      <c r="E18" s="40"/>
      <c r="F18" s="40"/>
      <c r="G18" s="81"/>
      <c r="H18" s="44"/>
      <c r="J18" s="44"/>
    </row>
    <row r="19" spans="1:12" s="39" customFormat="1" x14ac:dyDescent="0.25">
      <c r="D19" s="40"/>
      <c r="E19" s="40"/>
      <c r="F19" s="40"/>
      <c r="G19" s="81"/>
      <c r="H19" s="44"/>
      <c r="J19" s="44"/>
    </row>
    <row r="20" spans="1:12" s="39" customFormat="1" x14ac:dyDescent="0.25">
      <c r="B20" s="37" t="s">
        <v>24</v>
      </c>
      <c r="D20" s="40"/>
      <c r="E20" s="40"/>
      <c r="F20" s="38"/>
      <c r="G20" s="38">
        <f>SUM(G17:G19)</f>
        <v>30</v>
      </c>
      <c r="H20" s="50">
        <f>+G20/$G$35</f>
        <v>0.39693040486901288</v>
      </c>
      <c r="I20" s="41"/>
      <c r="J20" s="44"/>
    </row>
    <row r="21" spans="1:12" s="1" customFormat="1" x14ac:dyDescent="0.25">
      <c r="A21" s="1" t="s">
        <v>16</v>
      </c>
      <c r="D21" s="7"/>
      <c r="E21" s="7"/>
      <c r="F21" s="7"/>
      <c r="G21" s="10"/>
      <c r="H21" s="4"/>
      <c r="J21" s="4"/>
    </row>
    <row r="22" spans="1:12" x14ac:dyDescent="0.25">
      <c r="B22" t="s">
        <v>20</v>
      </c>
      <c r="C22" s="3" t="s">
        <v>19</v>
      </c>
      <c r="D22" s="5">
        <v>5</v>
      </c>
      <c r="E22" s="5">
        <v>3.46</v>
      </c>
      <c r="F22" s="30">
        <v>2.5</v>
      </c>
      <c r="G22" s="5">
        <f t="shared" ref="G22:G23" si="0">ROUND(D22*E22*F22,2)</f>
        <v>43.25</v>
      </c>
      <c r="H22" s="45">
        <f>+G22/$G$35</f>
        <v>0.57224133368616026</v>
      </c>
      <c r="I22" s="34">
        <f>+D22*F22</f>
        <v>12.5</v>
      </c>
      <c r="J22" s="53">
        <f>ROUND(F22/$F$34,4)</f>
        <v>0.56820000000000004</v>
      </c>
      <c r="K22" s="33">
        <f>+D22*J22</f>
        <v>2.8410000000000002</v>
      </c>
      <c r="L22" s="12">
        <f>+ROUND(K22,2)</f>
        <v>2.84</v>
      </c>
    </row>
    <row r="23" spans="1:12" x14ac:dyDescent="0.25">
      <c r="B23" t="s">
        <v>21</v>
      </c>
      <c r="C23" s="3" t="s">
        <v>19</v>
      </c>
      <c r="D23" s="5">
        <v>1</v>
      </c>
      <c r="E23" s="5">
        <v>5.1100000000000003</v>
      </c>
      <c r="F23" s="3">
        <v>2.5000000000000001E-2</v>
      </c>
      <c r="G23" s="5">
        <f t="shared" si="0"/>
        <v>0.13</v>
      </c>
      <c r="H23" s="45">
        <f>+G23/$G$35</f>
        <v>1.7200317544323893E-3</v>
      </c>
      <c r="I23" s="34">
        <f>+D23*F23</f>
        <v>2.5000000000000001E-2</v>
      </c>
      <c r="J23" s="53">
        <f>ROUND(F23/$F$34,4)</f>
        <v>5.7000000000000002E-3</v>
      </c>
      <c r="K23" s="33">
        <f>+D23*J23</f>
        <v>5.7000000000000002E-3</v>
      </c>
      <c r="L23" s="12">
        <f>+ROUND(K23,2)</f>
        <v>0.01</v>
      </c>
    </row>
    <row r="26" spans="1:12" x14ac:dyDescent="0.25">
      <c r="B26" s="7" t="s">
        <v>25</v>
      </c>
      <c r="D26" s="5">
        <f>SUM(D22:D24)</f>
        <v>6</v>
      </c>
      <c r="F26" s="12">
        <f>SUM(F22:F24)</f>
        <v>2.5249999999999999</v>
      </c>
      <c r="G26" s="10">
        <f>SUM(G22:G24)</f>
        <v>43.38</v>
      </c>
      <c r="H26" s="45">
        <f>+G26/$G$35</f>
        <v>0.57396136544059273</v>
      </c>
      <c r="I26" s="34">
        <f>SUM(I22:I24)</f>
        <v>12.525</v>
      </c>
      <c r="L26" s="34">
        <f>SUM(L22:L24)</f>
        <v>2.8499999999999996</v>
      </c>
    </row>
    <row r="27" spans="1:12" s="1" customFormat="1" x14ac:dyDescent="0.25">
      <c r="A27" s="16" t="s">
        <v>17</v>
      </c>
      <c r="B27" s="16"/>
      <c r="C27" s="16"/>
      <c r="D27" s="17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20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</row>
    <row r="34" spans="5:16" x14ac:dyDescent="0.25">
      <c r="E34" s="13" t="s">
        <v>31</v>
      </c>
      <c r="F34" s="35">
        <f>+IF(F26&gt;F10,F26,F10)</f>
        <v>4.4000000000000004</v>
      </c>
      <c r="G34" s="75" t="s">
        <v>49</v>
      </c>
      <c r="H34" s="75"/>
      <c r="I34" s="75"/>
      <c r="J34" s="75"/>
      <c r="K34" s="75"/>
      <c r="L34" s="75"/>
      <c r="M34" s="39"/>
      <c r="N34" s="39"/>
      <c r="O34" s="39"/>
      <c r="P34" s="39"/>
    </row>
    <row r="35" spans="5:16" x14ac:dyDescent="0.25">
      <c r="E35" s="1" t="s">
        <v>27</v>
      </c>
      <c r="G35" s="10">
        <f>+G10+G15+G20+G26+G32</f>
        <v>75.580000000000013</v>
      </c>
    </row>
    <row r="36" spans="5:16" x14ac:dyDescent="0.25">
      <c r="E36" s="1" t="s">
        <v>28</v>
      </c>
      <c r="G36" s="8">
        <f>+ROUND(0.12*G35,2)</f>
        <v>9.07</v>
      </c>
    </row>
    <row r="37" spans="5:16" x14ac:dyDescent="0.25">
      <c r="E37" s="1" t="s">
        <v>29</v>
      </c>
      <c r="G37" s="10">
        <f>+G35+G36</f>
        <v>84.65</v>
      </c>
    </row>
    <row r="39" spans="5:16" x14ac:dyDescent="0.25">
      <c r="K39" s="54"/>
    </row>
  </sheetData>
  <mergeCells count="1">
    <mergeCell ref="G34:L3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5AF6-E4E0-4A39-91E7-BE97C938CBB5}">
  <dimension ref="A1:P37"/>
  <sheetViews>
    <sheetView topLeftCell="A19" workbookViewId="0">
      <selection activeCell="B22" sqref="B22:E23"/>
    </sheetView>
  </sheetViews>
  <sheetFormatPr baseColWidth="10" defaultRowHeight="15" x14ac:dyDescent="0.25"/>
  <cols>
    <col min="1" max="1" width="14.140625" bestFit="1" customWidth="1"/>
    <col min="2" max="2" width="18.85546875" customWidth="1"/>
    <col min="5" max="5" width="21" bestFit="1" customWidth="1"/>
    <col min="6" max="6" width="13.5703125" customWidth="1"/>
    <col min="7" max="7" width="11.42578125" style="2"/>
    <col min="8" max="8" width="11.42578125" style="3"/>
    <col min="10" max="10" width="10" style="3" bestFit="1" customWidth="1"/>
    <col min="11" max="11" width="19.7109375" bestFit="1" customWidth="1"/>
    <col min="12" max="12" width="28.28515625" bestFit="1" customWidth="1"/>
  </cols>
  <sheetData>
    <row r="1" spans="1:12" x14ac:dyDescent="0.25">
      <c r="A1" s="1" t="s">
        <v>2</v>
      </c>
      <c r="B1" t="s">
        <v>1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54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18</v>
      </c>
      <c r="C7" s="3" t="s">
        <v>19</v>
      </c>
      <c r="D7" s="5">
        <v>1</v>
      </c>
      <c r="E7" s="5">
        <v>0.5</v>
      </c>
      <c r="F7" s="5">
        <v>2</v>
      </c>
      <c r="G7" s="5">
        <f>ROUND(D7*E7*F7,2)</f>
        <v>1</v>
      </c>
      <c r="H7" s="45">
        <f>+G7/$G$35</f>
        <v>0.11185682326621925</v>
      </c>
      <c r="I7" s="12">
        <f>+D7*F7</f>
        <v>2</v>
      </c>
      <c r="J7" s="53">
        <f>ROUND(F7/$F$34,4)</f>
        <v>0.90910000000000002</v>
      </c>
      <c r="K7" s="33">
        <f>+D7*J7</f>
        <v>0.90910000000000002</v>
      </c>
      <c r="L7" s="12">
        <f>+ROUND(K7,2)</f>
        <v>0.91</v>
      </c>
    </row>
    <row r="8" spans="1:12" x14ac:dyDescent="0.25">
      <c r="D8" s="6"/>
      <c r="E8" s="6"/>
      <c r="F8" s="6"/>
      <c r="G8" s="9"/>
      <c r="H8" s="45"/>
      <c r="I8" s="11"/>
    </row>
    <row r="9" spans="1:12" x14ac:dyDescent="0.25">
      <c r="D9" s="6"/>
      <c r="E9" s="6"/>
      <c r="F9" s="6"/>
      <c r="G9" s="9"/>
      <c r="H9" s="45"/>
      <c r="I9" s="11"/>
    </row>
    <row r="10" spans="1:12" x14ac:dyDescent="0.25">
      <c r="B10" s="7" t="s">
        <v>22</v>
      </c>
      <c r="D10" s="6"/>
      <c r="F10" s="12">
        <f>SUM(F7:F9)</f>
        <v>2</v>
      </c>
      <c r="G10" s="10">
        <f>SUM(G7:G9)</f>
        <v>1</v>
      </c>
      <c r="H10" s="45">
        <f>+G10/$G$35</f>
        <v>0.11185682326621925</v>
      </c>
      <c r="I10" s="12">
        <f>SUM(I7:I9)</f>
        <v>2</v>
      </c>
      <c r="K10" s="12">
        <f>SUM(K7:K9)</f>
        <v>0.90910000000000002</v>
      </c>
      <c r="L10" s="12">
        <f>SUM(L7:L9)</f>
        <v>0.91</v>
      </c>
    </row>
    <row r="11" spans="1:12" s="1" customFormat="1" x14ac:dyDescent="0.25">
      <c r="A11" s="16" t="s">
        <v>14</v>
      </c>
      <c r="B11" s="16"/>
      <c r="C11" s="16"/>
      <c r="D11" s="17"/>
      <c r="E11" s="17"/>
      <c r="F11" s="17"/>
      <c r="G11" s="18"/>
      <c r="H11" s="46"/>
      <c r="I11" s="16"/>
      <c r="J11" s="46"/>
      <c r="K11" s="16"/>
    </row>
    <row r="12" spans="1:12" ht="45" x14ac:dyDescent="0.25">
      <c r="A12" s="19"/>
      <c r="B12" s="19"/>
      <c r="C12" s="19"/>
      <c r="D12" s="20"/>
      <c r="E12" s="20"/>
      <c r="F12" s="20"/>
      <c r="G12" s="21"/>
      <c r="H12" s="47"/>
      <c r="I12" s="19"/>
      <c r="J12" s="47"/>
      <c r="K12" s="19"/>
      <c r="L12" s="52" t="s">
        <v>64</v>
      </c>
    </row>
    <row r="13" spans="1:12" x14ac:dyDescent="0.25">
      <c r="A13" s="19"/>
      <c r="B13" s="19"/>
      <c r="C13" s="19"/>
      <c r="D13" s="20"/>
      <c r="E13" s="20"/>
      <c r="F13" s="20"/>
      <c r="G13" s="21"/>
      <c r="H13" s="47"/>
      <c r="I13" s="19"/>
      <c r="J13" s="47"/>
      <c r="K13" s="19"/>
    </row>
    <row r="14" spans="1:12" x14ac:dyDescent="0.25">
      <c r="A14" s="19"/>
      <c r="B14" s="19"/>
      <c r="C14" s="19"/>
      <c r="D14" s="20"/>
      <c r="E14" s="20"/>
      <c r="F14" s="20"/>
      <c r="G14" s="21"/>
      <c r="H14" s="47"/>
      <c r="I14" s="19"/>
      <c r="J14" s="47"/>
      <c r="K14" s="19"/>
    </row>
    <row r="15" spans="1:12" x14ac:dyDescent="0.2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8">
        <f>+G15/$G$35</f>
        <v>0</v>
      </c>
      <c r="I15" s="22"/>
      <c r="J15" s="47"/>
      <c r="K15" s="19"/>
    </row>
    <row r="16" spans="1:12" s="1" customFormat="1" x14ac:dyDescent="0.25">
      <c r="A16" s="16" t="s">
        <v>15</v>
      </c>
      <c r="B16" s="16"/>
      <c r="C16" s="16"/>
      <c r="D16" s="17"/>
      <c r="E16" s="17"/>
      <c r="F16" s="17"/>
      <c r="G16" s="18"/>
      <c r="H16" s="46"/>
      <c r="I16" s="16"/>
      <c r="J16" s="46"/>
      <c r="K16" s="16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9"/>
      <c r="C19" s="19"/>
      <c r="D19" s="20"/>
      <c r="E19" s="20"/>
      <c r="F19" s="20"/>
      <c r="G19" s="21"/>
      <c r="H19" s="47"/>
      <c r="I19" s="19"/>
      <c r="J19" s="47"/>
      <c r="K19" s="19"/>
    </row>
    <row r="20" spans="1:12" x14ac:dyDescent="0.2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8">
        <f>+G20/$G$35</f>
        <v>0</v>
      </c>
      <c r="I20" s="22"/>
      <c r="J20" s="47"/>
      <c r="K20" s="19"/>
    </row>
    <row r="21" spans="1:12" s="1" customFormat="1" x14ac:dyDescent="0.25">
      <c r="A21" s="1" t="s">
        <v>16</v>
      </c>
      <c r="D21" s="7"/>
      <c r="E21" s="7"/>
      <c r="F21" s="7"/>
      <c r="G21" s="10"/>
      <c r="H21" s="4"/>
      <c r="J21" s="4"/>
    </row>
    <row r="22" spans="1:12" x14ac:dyDescent="0.25">
      <c r="B22" t="s">
        <v>20</v>
      </c>
      <c r="C22" s="3" t="s">
        <v>19</v>
      </c>
      <c r="D22" s="5">
        <v>1</v>
      </c>
      <c r="E22" s="5">
        <v>3.46</v>
      </c>
      <c r="F22" s="5">
        <v>2</v>
      </c>
      <c r="G22" s="5">
        <f t="shared" ref="G22:G23" si="0">ROUND(D22*E22*F22,2)</f>
        <v>6.92</v>
      </c>
      <c r="H22" s="45">
        <f>+G22/$G$35</f>
        <v>0.77404921700223717</v>
      </c>
      <c r="I22" s="34">
        <f>+D22*F22</f>
        <v>2</v>
      </c>
      <c r="J22" s="53">
        <f>ROUND(F22/$F$34,4)</f>
        <v>0.90910000000000002</v>
      </c>
      <c r="K22" s="33">
        <f>+D22*J22</f>
        <v>0.90910000000000002</v>
      </c>
      <c r="L22" s="12">
        <f>+ROUND(K22,2)</f>
        <v>0.91</v>
      </c>
    </row>
    <row r="23" spans="1:12" x14ac:dyDescent="0.25">
      <c r="B23" t="s">
        <v>21</v>
      </c>
      <c r="C23" s="3" t="s">
        <v>19</v>
      </c>
      <c r="D23" s="5">
        <v>1</v>
      </c>
      <c r="E23" s="5">
        <v>5.1100000000000003</v>
      </c>
      <c r="F23" s="5">
        <v>0.2</v>
      </c>
      <c r="G23" s="5">
        <f t="shared" si="0"/>
        <v>1.02</v>
      </c>
      <c r="H23" s="45">
        <f>+G23/$G$35</f>
        <v>0.11409395973154363</v>
      </c>
      <c r="I23" s="34">
        <f t="shared" ref="I23" si="1">+D23*F23</f>
        <v>0.2</v>
      </c>
      <c r="J23" s="53">
        <f>ROUND(F23/$F$34,4)</f>
        <v>9.0899999999999995E-2</v>
      </c>
      <c r="K23" s="33">
        <f>+D23*J23</f>
        <v>9.0899999999999995E-2</v>
      </c>
      <c r="L23" s="12">
        <f>+ROUND(K23,2)</f>
        <v>0.09</v>
      </c>
    </row>
    <row r="24" spans="1:12" x14ac:dyDescent="0.25">
      <c r="D24" s="6"/>
      <c r="E24" s="6"/>
      <c r="F24" s="6"/>
      <c r="G24" s="9"/>
    </row>
    <row r="25" spans="1:12" x14ac:dyDescent="0.25">
      <c r="D25" s="6"/>
      <c r="E25" s="6"/>
      <c r="F25" s="6"/>
      <c r="G25" s="9"/>
    </row>
    <row r="26" spans="1:12" x14ac:dyDescent="0.25">
      <c r="B26" s="7" t="s">
        <v>25</v>
      </c>
      <c r="D26" s="5">
        <f>SUM(D22:D25)</f>
        <v>2</v>
      </c>
      <c r="F26" s="12">
        <f>SUM(F22:F25)</f>
        <v>2.2000000000000002</v>
      </c>
      <c r="G26" s="10">
        <f>SUM(G22:G25)</f>
        <v>7.9399999999999995</v>
      </c>
      <c r="H26" s="45">
        <f>+G26/$G$35</f>
        <v>0.88814317673378074</v>
      </c>
      <c r="I26" s="12">
        <f>SUM(I22:I25)</f>
        <v>2.2000000000000002</v>
      </c>
      <c r="K26" s="12">
        <f>SUM(K22:K25)</f>
        <v>1</v>
      </c>
      <c r="L26" s="34">
        <f>SUM(L22:L24)</f>
        <v>1</v>
      </c>
    </row>
    <row r="27" spans="1:12" s="1" customFormat="1" x14ac:dyDescent="0.25">
      <c r="A27" s="16" t="s">
        <v>17</v>
      </c>
      <c r="B27" s="16"/>
      <c r="C27" s="16"/>
      <c r="D27" s="17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20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</row>
    <row r="34" spans="5:16" x14ac:dyDescent="0.25">
      <c r="E34" s="13" t="s">
        <v>31</v>
      </c>
      <c r="F34" s="35">
        <f>+IF(F26&gt;F10,F26,F10)</f>
        <v>2.2000000000000002</v>
      </c>
      <c r="G34" s="15" t="s">
        <v>49</v>
      </c>
      <c r="H34" s="14"/>
      <c r="I34" s="13"/>
      <c r="J34" s="14"/>
      <c r="K34" s="13"/>
      <c r="L34" s="13"/>
      <c r="M34" s="28"/>
      <c r="N34" s="28"/>
      <c r="O34" s="28"/>
      <c r="P34" s="28"/>
    </row>
    <row r="35" spans="5:16" x14ac:dyDescent="0.25">
      <c r="E35" s="1" t="s">
        <v>27</v>
      </c>
      <c r="G35" s="10">
        <f>+G10+G15+G20+G26+G32</f>
        <v>8.94</v>
      </c>
    </row>
    <row r="36" spans="5:16" x14ac:dyDescent="0.25">
      <c r="E36" s="1" t="s">
        <v>28</v>
      </c>
      <c r="G36" s="8">
        <f>+ROUND(0.12*G35,2)</f>
        <v>1.07</v>
      </c>
    </row>
    <row r="37" spans="5:16" x14ac:dyDescent="0.25">
      <c r="E37" s="1" t="s">
        <v>29</v>
      </c>
      <c r="G37" s="10">
        <f>+G35+G36</f>
        <v>10.01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E32-17C5-4101-AEC4-9DA3A29D6889}">
  <dimension ref="A1:P37"/>
  <sheetViews>
    <sheetView topLeftCell="A16" workbookViewId="0">
      <selection activeCell="K22" sqref="K22"/>
    </sheetView>
  </sheetViews>
  <sheetFormatPr baseColWidth="10" defaultRowHeight="15" x14ac:dyDescent="0.25"/>
  <cols>
    <col min="1" max="1" width="14.140625" bestFit="1" customWidth="1"/>
    <col min="2" max="2" width="18.85546875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1" width="20.7109375" customWidth="1"/>
    <col min="12" max="12" width="28.28515625" bestFit="1" customWidth="1"/>
  </cols>
  <sheetData>
    <row r="1" spans="1:12" x14ac:dyDescent="0.25">
      <c r="A1" s="1" t="s">
        <v>2</v>
      </c>
      <c r="B1" t="s">
        <v>55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54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56</v>
      </c>
      <c r="C7" s="3" t="s">
        <v>19</v>
      </c>
      <c r="D7" s="5">
        <v>1</v>
      </c>
      <c r="E7" s="5">
        <v>20</v>
      </c>
      <c r="F7" s="30">
        <v>3.85E-2</v>
      </c>
      <c r="G7" s="5">
        <f>ROUND(D7*E7*F7,2)</f>
        <v>0.77</v>
      </c>
      <c r="H7" s="45">
        <f>+G7/$G$35</f>
        <v>0.53472222222222221</v>
      </c>
      <c r="I7" s="12">
        <f>+D7*F7</f>
        <v>3.85E-2</v>
      </c>
      <c r="J7" s="53">
        <f>ROUND(F7/$F$34,4)</f>
        <v>0.29409999999999997</v>
      </c>
      <c r="K7" s="33">
        <f>+D7*J7</f>
        <v>0.29409999999999997</v>
      </c>
      <c r="L7" s="12">
        <f>+ROUND(K7,2)</f>
        <v>0.28999999999999998</v>
      </c>
    </row>
    <row r="8" spans="1:12" x14ac:dyDescent="0.25">
      <c r="D8" s="6"/>
      <c r="E8" s="6"/>
      <c r="F8" s="6"/>
      <c r="G8" s="9"/>
      <c r="H8" s="45"/>
      <c r="I8" s="11"/>
    </row>
    <row r="9" spans="1:12" x14ac:dyDescent="0.25">
      <c r="D9" s="6"/>
      <c r="E9" s="6"/>
      <c r="F9" s="6"/>
      <c r="G9" s="9"/>
      <c r="H9" s="45"/>
      <c r="I9" s="11"/>
    </row>
    <row r="10" spans="1:12" x14ac:dyDescent="0.25">
      <c r="B10" s="7" t="s">
        <v>22</v>
      </c>
      <c r="D10" s="6"/>
      <c r="F10" s="12">
        <f>SUM(F7:F9)</f>
        <v>3.85E-2</v>
      </c>
      <c r="G10" s="10">
        <f>SUM(G7:G9)</f>
        <v>0.77</v>
      </c>
      <c r="H10" s="45">
        <f>+G10/$G$35</f>
        <v>0.53472222222222221</v>
      </c>
      <c r="I10" s="12">
        <f>SUM(I7:I9)</f>
        <v>3.85E-2</v>
      </c>
      <c r="K10" s="12">
        <f>SUM(K7:K9)</f>
        <v>0.29409999999999997</v>
      </c>
      <c r="L10" s="12">
        <f>SUM(L7:L9)</f>
        <v>0.28999999999999998</v>
      </c>
    </row>
    <row r="11" spans="1:12" s="1" customFormat="1" x14ac:dyDescent="0.25">
      <c r="A11" s="16" t="s">
        <v>14</v>
      </c>
      <c r="B11" s="16"/>
      <c r="C11" s="16"/>
      <c r="D11" s="17"/>
      <c r="E11" s="17"/>
      <c r="F11" s="17"/>
      <c r="G11" s="18"/>
      <c r="H11" s="46"/>
      <c r="I11" s="16"/>
      <c r="J11" s="46"/>
      <c r="K11" s="16"/>
    </row>
    <row r="12" spans="1:12" ht="135" x14ac:dyDescent="0.25">
      <c r="A12" s="19"/>
      <c r="B12" s="19"/>
      <c r="C12" s="19"/>
      <c r="D12" s="20"/>
      <c r="E12" s="20"/>
      <c r="F12" s="20"/>
      <c r="G12" s="21"/>
      <c r="H12" s="47"/>
      <c r="I12" s="19"/>
      <c r="J12" s="47"/>
      <c r="K12" s="19"/>
      <c r="L12" s="52" t="s">
        <v>64</v>
      </c>
    </row>
    <row r="13" spans="1:12" x14ac:dyDescent="0.25">
      <c r="A13" s="19"/>
      <c r="B13" s="19"/>
      <c r="C13" s="19"/>
      <c r="D13" s="20"/>
      <c r="E13" s="20"/>
      <c r="F13" s="20"/>
      <c r="G13" s="21"/>
      <c r="H13" s="47"/>
      <c r="I13" s="19"/>
      <c r="J13" s="47"/>
      <c r="K13" s="19"/>
    </row>
    <row r="14" spans="1:12" x14ac:dyDescent="0.25">
      <c r="A14" s="19"/>
      <c r="B14" s="19"/>
      <c r="C14" s="19"/>
      <c r="D14" s="20"/>
      <c r="E14" s="20"/>
      <c r="F14" s="20"/>
      <c r="G14" s="21"/>
      <c r="H14" s="47"/>
      <c r="I14" s="19"/>
      <c r="J14" s="47"/>
      <c r="K14" s="19"/>
    </row>
    <row r="15" spans="1:12" x14ac:dyDescent="0.2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8">
        <f>+G15/$G$35</f>
        <v>0</v>
      </c>
      <c r="I15" s="22"/>
      <c r="J15" s="47"/>
      <c r="K15" s="19"/>
    </row>
    <row r="16" spans="1:12" s="1" customFormat="1" x14ac:dyDescent="0.25">
      <c r="A16" s="16" t="s">
        <v>15</v>
      </c>
      <c r="B16" s="16"/>
      <c r="C16" s="16"/>
      <c r="D16" s="17"/>
      <c r="E16" s="20"/>
      <c r="F16" s="17"/>
      <c r="G16" s="18"/>
      <c r="H16" s="46"/>
      <c r="I16" s="16"/>
      <c r="J16" s="46"/>
      <c r="K16" s="16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9"/>
      <c r="C19" s="19"/>
      <c r="D19" s="20"/>
      <c r="E19" s="20"/>
      <c r="F19" s="20"/>
      <c r="G19" s="21"/>
      <c r="H19" s="47"/>
      <c r="I19" s="19"/>
      <c r="J19" s="47"/>
      <c r="K19" s="19"/>
    </row>
    <row r="20" spans="1:12" x14ac:dyDescent="0.2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8">
        <f>+G20/$G$35</f>
        <v>0</v>
      </c>
      <c r="I20" s="22"/>
      <c r="J20" s="47"/>
      <c r="K20" s="19"/>
    </row>
    <row r="21" spans="1:12" s="1" customFormat="1" x14ac:dyDescent="0.25">
      <c r="A21" s="1" t="s">
        <v>16</v>
      </c>
      <c r="D21" s="7"/>
      <c r="E21" s="7"/>
      <c r="F21" s="7"/>
      <c r="G21" s="10"/>
      <c r="H21" s="4"/>
      <c r="J21" s="4"/>
    </row>
    <row r="22" spans="1:12" x14ac:dyDescent="0.25">
      <c r="B22" t="s">
        <v>20</v>
      </c>
      <c r="C22" s="3" t="s">
        <v>19</v>
      </c>
      <c r="D22" s="5">
        <v>2</v>
      </c>
      <c r="E22" s="5">
        <v>3.46</v>
      </c>
      <c r="F22" s="30">
        <v>3.85E-2</v>
      </c>
      <c r="G22" s="5">
        <f t="shared" ref="G22:G25" si="0">ROUND(D22*E22*F22,2)</f>
        <v>0.27</v>
      </c>
      <c r="H22" s="45">
        <f>+G22/$G$35</f>
        <v>0.18750000000000003</v>
      </c>
      <c r="I22" s="34">
        <f>+D22*F22</f>
        <v>7.6999999999999999E-2</v>
      </c>
      <c r="J22" s="53">
        <f>ROUND(F22/$F$34,4)</f>
        <v>0.29409999999999997</v>
      </c>
      <c r="K22" s="33">
        <f>+D22*J22</f>
        <v>0.58819999999999995</v>
      </c>
      <c r="L22" s="12">
        <f>+ROUND(K22,2)</f>
        <v>0.59</v>
      </c>
    </row>
    <row r="23" spans="1:12" x14ac:dyDescent="0.25">
      <c r="B23" t="s">
        <v>57</v>
      </c>
      <c r="C23" s="3" t="s">
        <v>19</v>
      </c>
      <c r="D23" s="5">
        <v>1</v>
      </c>
      <c r="E23" s="5">
        <v>4.29</v>
      </c>
      <c r="F23" s="30">
        <v>3.85E-2</v>
      </c>
      <c r="G23" s="5">
        <f t="shared" si="0"/>
        <v>0.17</v>
      </c>
      <c r="H23" s="45">
        <f t="shared" ref="H23:H24" si="1">+G23/$G$35</f>
        <v>0.11805555555555557</v>
      </c>
      <c r="I23" s="34">
        <f t="shared" ref="I23:I25" si="2">+D23*F23</f>
        <v>3.85E-2</v>
      </c>
      <c r="J23" s="53">
        <f>ROUND(F23/$F$34,4)</f>
        <v>0.29409999999999997</v>
      </c>
      <c r="K23" s="33">
        <f>+D23*J23</f>
        <v>0.29409999999999997</v>
      </c>
      <c r="L23" s="12">
        <f>+ROUND(K23,2)</f>
        <v>0.28999999999999998</v>
      </c>
    </row>
    <row r="24" spans="1:12" x14ac:dyDescent="0.25">
      <c r="B24" t="s">
        <v>58</v>
      </c>
      <c r="C24" s="3" t="s">
        <v>19</v>
      </c>
      <c r="D24" s="5">
        <v>1</v>
      </c>
      <c r="E24" s="5">
        <v>3.82</v>
      </c>
      <c r="F24" s="30">
        <v>3.85E-2</v>
      </c>
      <c r="G24" s="5">
        <f t="shared" si="0"/>
        <v>0.15</v>
      </c>
      <c r="H24" s="45">
        <f t="shared" si="1"/>
        <v>0.10416666666666667</v>
      </c>
      <c r="I24" s="34">
        <f t="shared" si="2"/>
        <v>3.85E-2</v>
      </c>
      <c r="J24" s="53">
        <f>ROUND(F24/$F$34,4)</f>
        <v>0.29409999999999997</v>
      </c>
      <c r="K24" s="33">
        <f>+D24*J24</f>
        <v>0.29409999999999997</v>
      </c>
      <c r="L24" s="12">
        <f>+ROUND(K24,2)</f>
        <v>0.28999999999999998</v>
      </c>
    </row>
    <row r="25" spans="1:12" x14ac:dyDescent="0.25">
      <c r="B25" t="s">
        <v>21</v>
      </c>
      <c r="C25" s="3" t="s">
        <v>19</v>
      </c>
      <c r="D25" s="5">
        <v>1</v>
      </c>
      <c r="E25" s="5">
        <v>5.1100000000000003</v>
      </c>
      <c r="F25" s="30">
        <v>1.54E-2</v>
      </c>
      <c r="G25" s="5">
        <f t="shared" si="0"/>
        <v>0.08</v>
      </c>
      <c r="H25" s="45">
        <f>+G25/$G$35</f>
        <v>5.5555555555555559E-2</v>
      </c>
      <c r="I25" s="34">
        <f t="shared" si="2"/>
        <v>1.54E-2</v>
      </c>
      <c r="J25" s="53">
        <f>ROUND(F25/$F$34,4)</f>
        <v>0.1176</v>
      </c>
      <c r="K25" s="33">
        <f>+D25*J25</f>
        <v>0.1176</v>
      </c>
      <c r="L25" s="12">
        <f>+ROUND(K25,2)</f>
        <v>0.12</v>
      </c>
    </row>
    <row r="26" spans="1:12" x14ac:dyDescent="0.25">
      <c r="B26" s="7" t="s">
        <v>25</v>
      </c>
      <c r="D26" s="5">
        <f>SUM(D22:D25)</f>
        <v>5</v>
      </c>
      <c r="F26" s="12">
        <f>SUM(F22:F25)</f>
        <v>0.13089999999999999</v>
      </c>
      <c r="G26" s="10">
        <f>SUM(G22:G25)</f>
        <v>0.67</v>
      </c>
      <c r="H26" s="45">
        <f>+G26/$G$35</f>
        <v>0.46527777777777785</v>
      </c>
      <c r="I26" s="34">
        <f>SUM(I22:I25)</f>
        <v>0.1694</v>
      </c>
      <c r="K26" s="12">
        <f>SUM(K23:K25)</f>
        <v>0.70579999999999998</v>
      </c>
      <c r="L26" s="34">
        <f>SUM(L22:L25)</f>
        <v>1.29</v>
      </c>
    </row>
    <row r="27" spans="1:12" s="1" customFormat="1" x14ac:dyDescent="0.25">
      <c r="A27" s="16" t="s">
        <v>17</v>
      </c>
      <c r="B27" s="16"/>
      <c r="C27" s="16"/>
      <c r="D27" s="17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20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</row>
    <row r="34" spans="5:16" x14ac:dyDescent="0.25">
      <c r="E34" s="13" t="s">
        <v>31</v>
      </c>
      <c r="F34" s="35">
        <f>+IF(F26&gt;F10,F26,F10)</f>
        <v>0.13089999999999999</v>
      </c>
      <c r="G34" s="15" t="s">
        <v>49</v>
      </c>
      <c r="H34" s="14"/>
      <c r="I34" s="13"/>
      <c r="J34" s="14"/>
      <c r="K34" s="13"/>
      <c r="L34" s="13"/>
      <c r="M34" s="28"/>
      <c r="N34" s="28"/>
      <c r="O34" s="28"/>
      <c r="P34" s="28"/>
    </row>
    <row r="35" spans="5:16" x14ac:dyDescent="0.25">
      <c r="E35" s="1" t="s">
        <v>27</v>
      </c>
      <c r="G35" s="10">
        <f>+G10+G15+G20+G26+G32</f>
        <v>1.44</v>
      </c>
    </row>
    <row r="36" spans="5:16" x14ac:dyDescent="0.25">
      <c r="E36" s="1" t="s">
        <v>28</v>
      </c>
      <c r="G36" s="8">
        <f>+ROUND(0.12*G35,2)</f>
        <v>0.17</v>
      </c>
    </row>
    <row r="37" spans="5:16" x14ac:dyDescent="0.25">
      <c r="E37" s="1" t="s">
        <v>29</v>
      </c>
      <c r="G37" s="10">
        <f>+G35+G36</f>
        <v>1.6099999999999999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7A8C-336C-4A51-886A-7E96CF942781}">
  <dimension ref="A1:P39"/>
  <sheetViews>
    <sheetView topLeftCell="B16" workbookViewId="0">
      <selection activeCell="J7" sqref="J7"/>
    </sheetView>
  </sheetViews>
  <sheetFormatPr baseColWidth="10" defaultRowHeight="15" x14ac:dyDescent="0.25"/>
  <cols>
    <col min="1" max="1" width="14.140625" bestFit="1" customWidth="1"/>
    <col min="2" max="2" width="20.42578125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61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45">
        <f>+G7/$G$35</f>
        <v>1.1834319526627219E-2</v>
      </c>
      <c r="I7" s="12">
        <f>+D7*F7</f>
        <v>0.6</v>
      </c>
      <c r="J7" s="53">
        <f>ROUND(F7/$F$34,4)</f>
        <v>0.45450000000000002</v>
      </c>
      <c r="K7" s="33">
        <f>+D7*J7</f>
        <v>0.45450000000000002</v>
      </c>
      <c r="L7" s="12">
        <f>+ROUND(K7,2)</f>
        <v>0.45</v>
      </c>
    </row>
    <row r="8" spans="1:12" x14ac:dyDescent="0.25">
      <c r="B8" t="s">
        <v>62</v>
      </c>
      <c r="C8" s="3" t="s">
        <v>19</v>
      </c>
      <c r="D8" s="9">
        <v>1</v>
      </c>
      <c r="E8" s="9">
        <v>3.5</v>
      </c>
      <c r="F8" s="30">
        <v>0.6</v>
      </c>
      <c r="G8" s="5">
        <f>ROUND(D8*E8*F8,2)</f>
        <v>2.1</v>
      </c>
      <c r="H8" s="45">
        <f>+G8/$G$35</f>
        <v>8.2840236686390525E-2</v>
      </c>
      <c r="I8" s="12">
        <f>+D8*F8</f>
        <v>0.6</v>
      </c>
      <c r="J8" s="53">
        <f>ROUND(F8/$F$34,4)</f>
        <v>0.45450000000000002</v>
      </c>
      <c r="K8" s="33">
        <f>+D8*J8</f>
        <v>0.45450000000000002</v>
      </c>
      <c r="L8" s="12">
        <f>+ROUND(K8,2)</f>
        <v>0.45</v>
      </c>
    </row>
    <row r="9" spans="1:12" x14ac:dyDescent="0.25">
      <c r="D9" s="6"/>
      <c r="E9" s="6"/>
      <c r="F9" s="6"/>
      <c r="G9" s="9"/>
      <c r="H9" s="45"/>
      <c r="I9" s="11"/>
    </row>
    <row r="10" spans="1:12" x14ac:dyDescent="0.25">
      <c r="B10" s="7" t="s">
        <v>22</v>
      </c>
      <c r="D10" s="6"/>
      <c r="F10" s="12">
        <f>SUM(F7:F9)</f>
        <v>1.2</v>
      </c>
      <c r="G10" s="10">
        <f>SUM(G7:G9)</f>
        <v>2.4</v>
      </c>
      <c r="H10" s="45">
        <f>+G10/$G$35</f>
        <v>9.4674556213017749E-2</v>
      </c>
      <c r="I10" s="12">
        <f>SUM(I7:I9)</f>
        <v>1.2</v>
      </c>
      <c r="L10" s="12">
        <f>SUM(L7:L9)</f>
        <v>0.9</v>
      </c>
    </row>
    <row r="11" spans="1:12" s="1" customFormat="1" x14ac:dyDescent="0.25">
      <c r="A11" s="36" t="s">
        <v>14</v>
      </c>
      <c r="B11" s="36"/>
      <c r="C11" s="36"/>
      <c r="D11" s="37"/>
      <c r="E11" s="37"/>
      <c r="F11" s="37"/>
      <c r="G11" s="38"/>
      <c r="H11" s="49"/>
      <c r="I11" s="36"/>
      <c r="J11" s="49"/>
      <c r="K11" s="36"/>
    </row>
    <row r="12" spans="1:12" s="42" customFormat="1" ht="84" customHeight="1" x14ac:dyDescent="0.25">
      <c r="A12" s="51"/>
      <c r="B12" s="51" t="s">
        <v>63</v>
      </c>
      <c r="C12" s="51" t="s">
        <v>4</v>
      </c>
      <c r="D12" s="43">
        <v>1.31</v>
      </c>
      <c r="E12" s="43">
        <v>13.5</v>
      </c>
      <c r="F12" s="43"/>
      <c r="G12" s="5">
        <f>ROUND(D12*E12,2)</f>
        <v>17.690000000000001</v>
      </c>
      <c r="H12" s="45">
        <f>+G12/$G$35</f>
        <v>0.69783037475345167</v>
      </c>
      <c r="I12" s="44"/>
      <c r="J12" s="44"/>
      <c r="L12" s="52" t="s">
        <v>64</v>
      </c>
    </row>
    <row r="13" spans="1:12" x14ac:dyDescent="0.25">
      <c r="A13" s="39"/>
      <c r="B13" s="39"/>
      <c r="C13" s="39"/>
      <c r="D13" s="43"/>
      <c r="E13" s="43"/>
      <c r="F13" s="43"/>
      <c r="G13" s="43"/>
      <c r="H13" s="44"/>
      <c r="I13" s="44"/>
      <c r="J13" s="44"/>
      <c r="K13" s="44"/>
    </row>
    <row r="14" spans="1:12" x14ac:dyDescent="0.25">
      <c r="A14" s="39"/>
      <c r="B14" s="39"/>
      <c r="C14" s="39"/>
      <c r="D14" s="43"/>
      <c r="E14" s="43"/>
      <c r="F14" s="43"/>
      <c r="G14" s="43"/>
      <c r="H14" s="44"/>
      <c r="I14" s="44"/>
      <c r="J14" s="44"/>
      <c r="K14" s="44"/>
    </row>
    <row r="15" spans="1:12" x14ac:dyDescent="0.25">
      <c r="A15" s="39"/>
      <c r="B15" s="37" t="s">
        <v>23</v>
      </c>
      <c r="C15" s="39"/>
      <c r="D15" s="40"/>
      <c r="E15" s="40"/>
      <c r="F15" s="38"/>
      <c r="G15" s="38">
        <f>SUM(G12:G14)</f>
        <v>17.690000000000001</v>
      </c>
      <c r="H15" s="50">
        <f>+G15/$G$35</f>
        <v>0.69783037475345167</v>
      </c>
      <c r="I15" s="41"/>
      <c r="J15" s="44"/>
      <c r="K15" s="39"/>
    </row>
    <row r="16" spans="1:12" s="1" customFormat="1" x14ac:dyDescent="0.25">
      <c r="A16" s="16" t="s">
        <v>15</v>
      </c>
      <c r="B16" s="16"/>
      <c r="C16" s="16"/>
      <c r="D16" s="17"/>
      <c r="E16" s="20"/>
      <c r="F16" s="17"/>
      <c r="G16" s="18"/>
      <c r="H16" s="46"/>
      <c r="I16" s="16"/>
      <c r="J16" s="46"/>
      <c r="K16" s="16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9"/>
      <c r="C19" s="19"/>
      <c r="D19" s="20"/>
      <c r="E19" s="20"/>
      <c r="F19" s="20"/>
      <c r="G19" s="21"/>
      <c r="H19" s="47"/>
      <c r="I19" s="19"/>
      <c r="J19" s="47"/>
      <c r="K19" s="19"/>
    </row>
    <row r="20" spans="1:12" x14ac:dyDescent="0.2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8">
        <f>+G20/$G$35</f>
        <v>0</v>
      </c>
      <c r="I20" s="22"/>
      <c r="J20" s="47"/>
      <c r="K20" s="19"/>
    </row>
    <row r="21" spans="1:12" s="1" customFormat="1" x14ac:dyDescent="0.25">
      <c r="A21" s="1" t="s">
        <v>16</v>
      </c>
      <c r="D21" s="7"/>
      <c r="E21" s="7"/>
      <c r="F21" s="7"/>
      <c r="G21" s="10"/>
      <c r="H21" s="4"/>
      <c r="J21" s="4"/>
    </row>
    <row r="22" spans="1:12" x14ac:dyDescent="0.25">
      <c r="B22" t="s">
        <v>20</v>
      </c>
      <c r="C22" s="3" t="s">
        <v>19</v>
      </c>
      <c r="D22" s="5">
        <v>1</v>
      </c>
      <c r="E22" s="5">
        <v>3.46</v>
      </c>
      <c r="F22" s="30">
        <v>0.6</v>
      </c>
      <c r="G22" s="5">
        <f t="shared" ref="G22:G23" si="0">ROUND(D22*E22*F22,2)</f>
        <v>2.08</v>
      </c>
      <c r="H22" s="45">
        <f>+G22/$G$35</f>
        <v>8.2051282051282051E-2</v>
      </c>
      <c r="I22" s="34">
        <f>+D22*F22</f>
        <v>0.6</v>
      </c>
      <c r="J22" s="53">
        <f>ROUND(F22/$F$34,4)</f>
        <v>0.45450000000000002</v>
      </c>
      <c r="K22" s="33">
        <f>+D22*J22</f>
        <v>0.45450000000000002</v>
      </c>
      <c r="L22" s="12">
        <f>+ROUND(K22,2)</f>
        <v>0.45</v>
      </c>
    </row>
    <row r="23" spans="1:12" x14ac:dyDescent="0.25">
      <c r="B23" t="s">
        <v>57</v>
      </c>
      <c r="C23" s="3" t="s">
        <v>19</v>
      </c>
      <c r="D23" s="5">
        <v>1</v>
      </c>
      <c r="E23" s="5">
        <v>4.29</v>
      </c>
      <c r="F23" s="30">
        <v>0.6</v>
      </c>
      <c r="G23" s="5">
        <f t="shared" si="0"/>
        <v>2.57</v>
      </c>
      <c r="H23" s="45">
        <f t="shared" ref="H23" si="1">+G23/$G$35</f>
        <v>0.10138067061143984</v>
      </c>
      <c r="I23" s="34">
        <f t="shared" ref="I23" si="2">+D23*F23</f>
        <v>0.6</v>
      </c>
      <c r="J23" s="53">
        <f>ROUND(F23/$F$34,4)</f>
        <v>0.45450000000000002</v>
      </c>
      <c r="K23" s="33">
        <f t="shared" ref="K23:K24" si="3">+D23*J23</f>
        <v>0.45450000000000002</v>
      </c>
      <c r="L23" s="12">
        <f>+ROUND(K23,2)</f>
        <v>0.45</v>
      </c>
    </row>
    <row r="24" spans="1:12" x14ac:dyDescent="0.25">
      <c r="B24" t="s">
        <v>21</v>
      </c>
      <c r="C24" s="3" t="s">
        <v>19</v>
      </c>
      <c r="D24" s="5">
        <v>1</v>
      </c>
      <c r="E24" s="5">
        <v>5.1100000000000003</v>
      </c>
      <c r="F24" s="30">
        <v>0.12</v>
      </c>
      <c r="G24" s="5">
        <f>ROUND(D24*E24*F24,2)</f>
        <v>0.61</v>
      </c>
      <c r="H24" s="45">
        <f>+G24/$G$35</f>
        <v>2.4063116370808678E-2</v>
      </c>
      <c r="I24" s="34">
        <f>+D24*F24</f>
        <v>0.12</v>
      </c>
      <c r="J24" s="53">
        <f>ROUND(F24/$F$34,4)</f>
        <v>9.0899999999999995E-2</v>
      </c>
      <c r="K24" s="33">
        <f t="shared" si="3"/>
        <v>9.0899999999999995E-2</v>
      </c>
      <c r="L24" s="12">
        <f>+ROUND(K24,2)</f>
        <v>0.09</v>
      </c>
    </row>
    <row r="26" spans="1:12" x14ac:dyDescent="0.25">
      <c r="B26" s="7" t="s">
        <v>25</v>
      </c>
      <c r="D26" s="5">
        <f>SUM(D22:D24)</f>
        <v>3</v>
      </c>
      <c r="F26" s="12">
        <f>SUM(F22:F24)</f>
        <v>1.3199999999999998</v>
      </c>
      <c r="G26" s="10">
        <f>SUM(G22:G24)</f>
        <v>5.2600000000000007</v>
      </c>
      <c r="H26" s="45">
        <f>+G26/$G$35</f>
        <v>0.2074950690335306</v>
      </c>
      <c r="I26" s="34">
        <f>SUM(I22:I24)</f>
        <v>1.3199999999999998</v>
      </c>
      <c r="L26" s="34">
        <f>SUM(L22:L24)</f>
        <v>0.99</v>
      </c>
    </row>
    <row r="27" spans="1:12" s="1" customFormat="1" x14ac:dyDescent="0.25">
      <c r="A27" s="16" t="s">
        <v>17</v>
      </c>
      <c r="B27" s="16"/>
      <c r="C27" s="16"/>
      <c r="D27" s="17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20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</row>
    <row r="34" spans="5:16" x14ac:dyDescent="0.25">
      <c r="E34" s="13" t="s">
        <v>31</v>
      </c>
      <c r="F34" s="35">
        <f>+IF(F26&gt;F10,F26,F10)</f>
        <v>1.3199999999999998</v>
      </c>
      <c r="G34" s="75" t="s">
        <v>49</v>
      </c>
      <c r="H34" s="75"/>
      <c r="I34" s="75"/>
      <c r="J34" s="75"/>
      <c r="K34" s="75"/>
      <c r="L34" s="75"/>
      <c r="M34" s="39"/>
      <c r="N34" s="39"/>
      <c r="O34" s="39"/>
      <c r="P34" s="39"/>
    </row>
    <row r="35" spans="5:16" x14ac:dyDescent="0.25">
      <c r="E35" s="1" t="s">
        <v>27</v>
      </c>
      <c r="G35" s="10">
        <f>+G10+G15+G20+G26+G32</f>
        <v>25.35</v>
      </c>
    </row>
    <row r="36" spans="5:16" x14ac:dyDescent="0.25">
      <c r="E36" s="1" t="s">
        <v>28</v>
      </c>
      <c r="G36" s="8">
        <f>+ROUND(0.12*G35,2)</f>
        <v>3.04</v>
      </c>
    </row>
    <row r="37" spans="5:16" x14ac:dyDescent="0.25">
      <c r="E37" s="1" t="s">
        <v>29</v>
      </c>
      <c r="G37" s="10">
        <f>+G35+G36</f>
        <v>28.39</v>
      </c>
    </row>
    <row r="39" spans="5:16" x14ac:dyDescent="0.25">
      <c r="K39" s="54"/>
    </row>
  </sheetData>
  <mergeCells count="1">
    <mergeCell ref="G34:L3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1D53-96EC-4321-9732-43143BDD8EA6}">
  <dimension ref="A1:P38"/>
  <sheetViews>
    <sheetView topLeftCell="B13" workbookViewId="0">
      <selection activeCell="G21" sqref="G21"/>
    </sheetView>
  </sheetViews>
  <sheetFormatPr baseColWidth="10" defaultRowHeight="15" x14ac:dyDescent="0.25"/>
  <cols>
    <col min="1" max="1" width="14.140625" bestFit="1" customWidth="1"/>
    <col min="2" max="2" width="22.85546875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68</v>
      </c>
      <c r="H1" s="4" t="s">
        <v>3</v>
      </c>
      <c r="I1" t="s">
        <v>70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45">
        <f>+G7/$G$34</f>
        <v>2.1008403361344536E-2</v>
      </c>
      <c r="I7" s="12">
        <f>+D7*F7</f>
        <v>0.6</v>
      </c>
      <c r="J7" s="53">
        <f>ROUND(F7/$F$33,4)</f>
        <v>0.45450000000000002</v>
      </c>
      <c r="K7" s="33">
        <f>+D7*J7</f>
        <v>0.45450000000000002</v>
      </c>
      <c r="L7" s="12">
        <f>+ROUND(K7,2)</f>
        <v>0.45</v>
      </c>
    </row>
    <row r="8" spans="1:12" x14ac:dyDescent="0.25">
      <c r="D8" s="6"/>
      <c r="E8" s="6"/>
      <c r="F8" s="6"/>
      <c r="G8" s="9"/>
      <c r="H8" s="45"/>
      <c r="I8" s="11"/>
    </row>
    <row r="9" spans="1:12" x14ac:dyDescent="0.25">
      <c r="B9" s="7" t="s">
        <v>22</v>
      </c>
      <c r="D9" s="6"/>
      <c r="F9" s="12">
        <f>SUM(F7:F8)</f>
        <v>0.6</v>
      </c>
      <c r="G9" s="10">
        <f>SUM(G7:G8)</f>
        <v>0.3</v>
      </c>
      <c r="H9" s="45">
        <f>+G9/$G$34</f>
        <v>2.1008403361344536E-2</v>
      </c>
      <c r="I9" s="12">
        <f>SUM(I7:I8)</f>
        <v>0.6</v>
      </c>
      <c r="L9" s="12">
        <f>SUM(L7:L8)</f>
        <v>0.45</v>
      </c>
    </row>
    <row r="10" spans="1:12" s="1" customFormat="1" x14ac:dyDescent="0.25">
      <c r="A10" s="36" t="s">
        <v>14</v>
      </c>
      <c r="B10" s="36"/>
      <c r="C10" s="36"/>
      <c r="D10" s="37"/>
      <c r="E10" s="37"/>
      <c r="F10" s="37"/>
      <c r="G10" s="38"/>
      <c r="H10" s="49"/>
      <c r="I10" s="36"/>
      <c r="J10" s="49"/>
      <c r="K10" s="36"/>
    </row>
    <row r="11" spans="1:12" s="42" customFormat="1" ht="45" customHeight="1" x14ac:dyDescent="0.25">
      <c r="A11" s="51"/>
      <c r="B11" s="51" t="s">
        <v>71</v>
      </c>
      <c r="C11" s="44" t="s">
        <v>72</v>
      </c>
      <c r="D11" s="43">
        <v>13</v>
      </c>
      <c r="E11" s="43">
        <v>0.5</v>
      </c>
      <c r="F11" s="43"/>
      <c r="G11" s="5">
        <f>ROUND(D11*E11,2)</f>
        <v>6.5</v>
      </c>
      <c r="H11" s="45">
        <f>+G11/$G$34</f>
        <v>0.45518207282913159</v>
      </c>
      <c r="I11" s="44"/>
      <c r="J11" s="44"/>
      <c r="L11" s="75" t="s">
        <v>64</v>
      </c>
    </row>
    <row r="12" spans="1:12" x14ac:dyDescent="0.25">
      <c r="A12" s="39"/>
      <c r="B12" s="39" t="s">
        <v>73</v>
      </c>
      <c r="C12" s="56" t="s">
        <v>4</v>
      </c>
      <c r="D12" s="43">
        <v>0.02</v>
      </c>
      <c r="E12" s="43">
        <v>110.95</v>
      </c>
      <c r="F12" s="43"/>
      <c r="G12" s="5">
        <f>ROUND(D12*E12,2)</f>
        <v>2.2200000000000002</v>
      </c>
      <c r="H12" s="45">
        <f>+G12/$G$34</f>
        <v>0.15546218487394958</v>
      </c>
      <c r="I12" s="44"/>
      <c r="J12" s="44"/>
      <c r="K12" s="44"/>
      <c r="L12" s="75"/>
    </row>
    <row r="13" spans="1:12" x14ac:dyDescent="0.25">
      <c r="A13" s="39"/>
      <c r="B13" s="39"/>
      <c r="C13" s="39"/>
      <c r="D13" s="43"/>
      <c r="E13" s="43"/>
      <c r="F13" s="43"/>
      <c r="G13" s="43"/>
      <c r="H13" s="44"/>
      <c r="I13" s="44"/>
      <c r="J13" s="44"/>
      <c r="K13" s="44"/>
    </row>
    <row r="14" spans="1:12" x14ac:dyDescent="0.25">
      <c r="A14" s="39"/>
      <c r="B14" s="37" t="s">
        <v>23</v>
      </c>
      <c r="C14" s="39"/>
      <c r="D14" s="40"/>
      <c r="E14" s="40"/>
      <c r="F14" s="38"/>
      <c r="G14" s="38">
        <f>SUM(G11:G13)</f>
        <v>8.7200000000000006</v>
      </c>
      <c r="H14" s="50">
        <f>+G14/$G$34</f>
        <v>0.61064425770308128</v>
      </c>
      <c r="I14" s="41"/>
      <c r="J14" s="44"/>
      <c r="K14" s="39"/>
    </row>
    <row r="15" spans="1:12" s="1" customFormat="1" x14ac:dyDescent="0.25">
      <c r="A15" s="16" t="s">
        <v>15</v>
      </c>
      <c r="B15" s="16"/>
      <c r="C15" s="16"/>
      <c r="D15" s="17"/>
      <c r="E15" s="20"/>
      <c r="F15" s="17"/>
      <c r="G15" s="18"/>
      <c r="H15" s="46"/>
      <c r="I15" s="16"/>
      <c r="J15" s="46"/>
      <c r="K15" s="16"/>
    </row>
    <row r="16" spans="1:12" x14ac:dyDescent="0.25">
      <c r="A16" s="19"/>
      <c r="B16" s="19"/>
      <c r="C16" s="19"/>
      <c r="D16" s="20"/>
      <c r="E16" s="20"/>
      <c r="F16" s="20"/>
      <c r="G16" s="21"/>
      <c r="H16" s="47"/>
      <c r="I16" s="19"/>
      <c r="J16" s="47"/>
      <c r="K16" s="19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8">
        <f>+G19/$G$34</f>
        <v>0</v>
      </c>
      <c r="I19" s="22"/>
      <c r="J19" s="47"/>
      <c r="K19" s="19"/>
    </row>
    <row r="20" spans="1:12" s="1" customFormat="1" x14ac:dyDescent="0.25">
      <c r="A20" s="1" t="s">
        <v>16</v>
      </c>
      <c r="D20" s="7"/>
      <c r="E20" s="7"/>
      <c r="F20" s="7"/>
      <c r="G20" s="10"/>
      <c r="H20" s="4"/>
      <c r="J20" s="4"/>
    </row>
    <row r="21" spans="1:12" x14ac:dyDescent="0.25">
      <c r="B21" t="s">
        <v>20</v>
      </c>
      <c r="C21" s="3" t="s">
        <v>19</v>
      </c>
      <c r="D21" s="5">
        <v>1</v>
      </c>
      <c r="E21" s="5">
        <v>3.46</v>
      </c>
      <c r="F21" s="30">
        <v>0.6</v>
      </c>
      <c r="G21" s="5">
        <f t="shared" ref="G21:G22" si="0">ROUND(D21*E21*F21,2)</f>
        <v>2.08</v>
      </c>
      <c r="H21" s="45">
        <f>+G21/$G$34</f>
        <v>0.14565826330532211</v>
      </c>
      <c r="I21" s="34">
        <f>+D21*F21</f>
        <v>0.6</v>
      </c>
      <c r="J21" s="53">
        <f>ROUND(F21/$F$33,4)</f>
        <v>0.45450000000000002</v>
      </c>
      <c r="K21" s="33">
        <f>+D21*J21</f>
        <v>0.45450000000000002</v>
      </c>
      <c r="L21" s="12">
        <f>+ROUND(K21,2)</f>
        <v>0.45</v>
      </c>
    </row>
    <row r="22" spans="1:12" x14ac:dyDescent="0.25">
      <c r="B22" t="s">
        <v>57</v>
      </c>
      <c r="C22" s="3" t="s">
        <v>19</v>
      </c>
      <c r="D22" s="5">
        <v>1</v>
      </c>
      <c r="E22" s="5">
        <v>4.29</v>
      </c>
      <c r="F22" s="30">
        <v>0.6</v>
      </c>
      <c r="G22" s="5">
        <f t="shared" si="0"/>
        <v>2.57</v>
      </c>
      <c r="H22" s="45">
        <f t="shared" ref="H22" si="1">+G22/$G$34</f>
        <v>0.17997198879551818</v>
      </c>
      <c r="I22" s="34">
        <f t="shared" ref="I22" si="2">+D22*F22</f>
        <v>0.6</v>
      </c>
      <c r="J22" s="53">
        <f>ROUND(F22/$F$33,4)</f>
        <v>0.45450000000000002</v>
      </c>
      <c r="K22" s="33">
        <f t="shared" ref="K22:K23" si="3">+D22*J22</f>
        <v>0.45450000000000002</v>
      </c>
      <c r="L22" s="12">
        <f>+ROUND(K22,2)</f>
        <v>0.45</v>
      </c>
    </row>
    <row r="23" spans="1:12" x14ac:dyDescent="0.25">
      <c r="B23" t="s">
        <v>21</v>
      </c>
      <c r="C23" s="3" t="s">
        <v>19</v>
      </c>
      <c r="D23" s="5">
        <v>1</v>
      </c>
      <c r="E23" s="5">
        <v>5.1100000000000003</v>
      </c>
      <c r="F23" s="30">
        <v>0.12</v>
      </c>
      <c r="G23" s="5">
        <f>ROUND(D23*E23*F23,2)</f>
        <v>0.61</v>
      </c>
      <c r="H23" s="45">
        <f>+G23/$G$34</f>
        <v>4.2717086834733888E-2</v>
      </c>
      <c r="I23" s="34">
        <f>+D23*F23</f>
        <v>0.12</v>
      </c>
      <c r="J23" s="53">
        <f>ROUND(F23/$F$33,4)</f>
        <v>9.0899999999999995E-2</v>
      </c>
      <c r="K23" s="33">
        <f t="shared" si="3"/>
        <v>9.0899999999999995E-2</v>
      </c>
      <c r="L23" s="12">
        <f>+ROUND(K23,2)</f>
        <v>0.09</v>
      </c>
    </row>
    <row r="25" spans="1:12" x14ac:dyDescent="0.25">
      <c r="B25" s="7" t="s">
        <v>25</v>
      </c>
      <c r="D25" s="5">
        <f>SUM(D21:D23)</f>
        <v>3</v>
      </c>
      <c r="F25" s="12">
        <f>SUM(F21:F23)</f>
        <v>1.3199999999999998</v>
      </c>
      <c r="G25" s="10">
        <f>SUM(G21:G23)</f>
        <v>5.2600000000000007</v>
      </c>
      <c r="H25" s="45">
        <f>+G25/$G$34</f>
        <v>0.36834733893557425</v>
      </c>
      <c r="I25" s="34">
        <f>SUM(I21:I23)</f>
        <v>1.3199999999999998</v>
      </c>
      <c r="L25" s="34">
        <f>SUM(L21:L23)</f>
        <v>0.99</v>
      </c>
    </row>
    <row r="26" spans="1:12" s="1" customFormat="1" x14ac:dyDescent="0.25">
      <c r="A26" s="16" t="s">
        <v>17</v>
      </c>
      <c r="B26" s="16"/>
      <c r="C26" s="16"/>
      <c r="D26" s="17"/>
      <c r="E26" s="17"/>
      <c r="F26" s="17"/>
      <c r="G26" s="18"/>
      <c r="H26" s="46"/>
      <c r="I26" s="16"/>
      <c r="J26" s="46"/>
      <c r="K26" s="16"/>
    </row>
    <row r="27" spans="1:12" x14ac:dyDescent="0.25">
      <c r="A27" s="19"/>
      <c r="B27" s="19"/>
      <c r="C27" s="19"/>
      <c r="D27" s="20"/>
      <c r="E27" s="20"/>
      <c r="F27" s="20"/>
      <c r="G27" s="21"/>
      <c r="H27" s="47"/>
      <c r="I27" s="19"/>
      <c r="J27" s="47"/>
      <c r="K27" s="19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19"/>
      <c r="E30" s="19"/>
      <c r="F30" s="19"/>
      <c r="G30" s="23"/>
      <c r="H30" s="47"/>
      <c r="I30" s="19"/>
      <c r="J30" s="47"/>
      <c r="K30" s="19"/>
    </row>
    <row r="31" spans="1:12" x14ac:dyDescent="0.2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8">
        <f>+G31/$G$34</f>
        <v>0</v>
      </c>
      <c r="I31" s="22"/>
      <c r="J31" s="47"/>
      <c r="K31" s="19"/>
    </row>
    <row r="33" spans="5:16" x14ac:dyDescent="0.25">
      <c r="E33" s="13" t="s">
        <v>31</v>
      </c>
      <c r="F33" s="35">
        <f>+IF(F25&gt;F9,F25,F9)</f>
        <v>1.3199999999999998</v>
      </c>
      <c r="G33" s="75" t="s">
        <v>49</v>
      </c>
      <c r="H33" s="75"/>
      <c r="I33" s="75"/>
      <c r="J33" s="75"/>
      <c r="K33" s="75"/>
      <c r="L33" s="75"/>
      <c r="M33" s="39"/>
      <c r="N33" s="39"/>
      <c r="O33" s="39"/>
      <c r="P33" s="39"/>
    </row>
    <row r="34" spans="5:16" x14ac:dyDescent="0.25">
      <c r="E34" s="1" t="s">
        <v>27</v>
      </c>
      <c r="G34" s="10">
        <f>+G9+G14+G19+G25+G31</f>
        <v>14.280000000000001</v>
      </c>
    </row>
    <row r="35" spans="5:16" x14ac:dyDescent="0.25">
      <c r="E35" s="1" t="s">
        <v>28</v>
      </c>
      <c r="G35" s="8">
        <f>+ROUND(0.12*G34,2)</f>
        <v>1.71</v>
      </c>
    </row>
    <row r="36" spans="5:16" x14ac:dyDescent="0.25">
      <c r="E36" s="1" t="s">
        <v>29</v>
      </c>
      <c r="G36" s="10">
        <f>+G34+G35</f>
        <v>15.990000000000002</v>
      </c>
    </row>
    <row r="38" spans="5:16" x14ac:dyDescent="0.25">
      <c r="K38" s="54"/>
    </row>
  </sheetData>
  <mergeCells count="2">
    <mergeCell ref="G33:L33"/>
    <mergeCell ref="L11:L1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BCBF-9D3A-4CC5-B8B6-081FB2F13D7D}">
  <dimension ref="A1:P38"/>
  <sheetViews>
    <sheetView workbookViewId="0">
      <selection activeCell="L11" sqref="L11:L14"/>
    </sheetView>
  </sheetViews>
  <sheetFormatPr baseColWidth="10" defaultRowHeight="15" x14ac:dyDescent="0.25"/>
  <cols>
    <col min="1" max="1" width="14.140625" bestFit="1" customWidth="1"/>
    <col min="2" max="2" width="22.85546875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73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18</v>
      </c>
      <c r="C7" s="3" t="s">
        <v>19</v>
      </c>
      <c r="D7" s="5">
        <v>2</v>
      </c>
      <c r="E7" s="5">
        <v>0.5</v>
      </c>
      <c r="F7" s="30">
        <v>0.9</v>
      </c>
      <c r="G7" s="5">
        <f>ROUND(D7*E7*F7,2)</f>
        <v>0.9</v>
      </c>
      <c r="H7" s="45">
        <f>+G7/$G$34</f>
        <v>8.1117620549797202E-3</v>
      </c>
      <c r="I7" s="12">
        <f>+D7*F7</f>
        <v>1.8</v>
      </c>
      <c r="J7" s="53">
        <f>ROUND(F7/$F$33,4)</f>
        <v>0.43480000000000002</v>
      </c>
      <c r="K7" s="33">
        <f>+D7*J7</f>
        <v>0.86960000000000004</v>
      </c>
      <c r="L7" s="12">
        <f>+ROUND(K7,2)</f>
        <v>0.87</v>
      </c>
    </row>
    <row r="8" spans="1:12" x14ac:dyDescent="0.25">
      <c r="D8" s="6"/>
      <c r="E8" s="6"/>
      <c r="F8" s="6"/>
      <c r="G8" s="9"/>
      <c r="H8" s="45"/>
      <c r="I8" s="11"/>
    </row>
    <row r="9" spans="1:12" x14ac:dyDescent="0.25">
      <c r="B9" s="7" t="s">
        <v>22</v>
      </c>
      <c r="D9" s="6"/>
      <c r="F9" s="12">
        <f>SUM(F7:F8)</f>
        <v>0.9</v>
      </c>
      <c r="G9" s="10">
        <f>SUM(G7:G8)</f>
        <v>0.9</v>
      </c>
      <c r="H9" s="45">
        <f>+G9/$G$34</f>
        <v>8.1117620549797202E-3</v>
      </c>
      <c r="I9" s="12">
        <f>SUM(I7:I8)</f>
        <v>1.8</v>
      </c>
      <c r="L9" s="12">
        <f>SUM(L7:L8)</f>
        <v>0.87</v>
      </c>
    </row>
    <row r="10" spans="1:12" s="1" customFormat="1" x14ac:dyDescent="0.25">
      <c r="A10" s="36" t="s">
        <v>14</v>
      </c>
      <c r="B10" s="36"/>
      <c r="C10" s="36"/>
      <c r="D10" s="37"/>
      <c r="E10" s="37"/>
      <c r="F10" s="37"/>
      <c r="G10" s="38"/>
      <c r="H10" s="49"/>
      <c r="I10" s="36"/>
      <c r="J10" s="49"/>
      <c r="K10" s="36"/>
    </row>
    <row r="11" spans="1:12" s="42" customFormat="1" ht="45" customHeight="1" x14ac:dyDescent="0.25">
      <c r="A11" s="51"/>
      <c r="B11" s="51" t="s">
        <v>76</v>
      </c>
      <c r="C11" s="44" t="s">
        <v>78</v>
      </c>
      <c r="D11" s="43">
        <v>10</v>
      </c>
      <c r="E11" s="43">
        <v>7.25</v>
      </c>
      <c r="F11" s="43"/>
      <c r="G11" s="5">
        <f>ROUND(D11*E11,2)</f>
        <v>72.5</v>
      </c>
      <c r="H11" s="45">
        <f>+G11/$G$34</f>
        <v>0.65344749887336639</v>
      </c>
      <c r="I11" s="44"/>
      <c r="J11" s="44"/>
      <c r="L11" s="75" t="s">
        <v>64</v>
      </c>
    </row>
    <row r="12" spans="1:12" x14ac:dyDescent="0.25">
      <c r="A12" s="39"/>
      <c r="B12" s="39" t="s">
        <v>77</v>
      </c>
      <c r="C12" s="56" t="s">
        <v>4</v>
      </c>
      <c r="D12" s="43">
        <v>1.1499999999999999</v>
      </c>
      <c r="E12" s="43">
        <v>20.5</v>
      </c>
      <c r="F12" s="43"/>
      <c r="G12" s="5">
        <f>ROUND(D12*E12,2)</f>
        <v>23.58</v>
      </c>
      <c r="H12" s="45">
        <f>+G12/$G$34</f>
        <v>0.21252816584046866</v>
      </c>
      <c r="I12" s="44"/>
      <c r="J12" s="44"/>
      <c r="K12" s="44"/>
      <c r="L12" s="75"/>
    </row>
    <row r="13" spans="1:12" x14ac:dyDescent="0.25">
      <c r="A13" s="39"/>
      <c r="B13" s="39" t="s">
        <v>74</v>
      </c>
      <c r="C13" s="56" t="s">
        <v>79</v>
      </c>
      <c r="D13" s="43">
        <v>250</v>
      </c>
      <c r="E13" s="43">
        <v>0.01</v>
      </c>
      <c r="F13" s="43"/>
      <c r="G13" s="5">
        <f>ROUND(D13*E13,2)</f>
        <v>2.5</v>
      </c>
      <c r="H13" s="45">
        <f>+G13/$G$34</f>
        <v>2.2532672374943667E-2</v>
      </c>
      <c r="I13" s="44"/>
      <c r="J13" s="44"/>
      <c r="K13" s="44"/>
      <c r="L13" s="75"/>
    </row>
    <row r="14" spans="1:12" x14ac:dyDescent="0.25">
      <c r="A14" s="39"/>
      <c r="B14" s="37" t="s">
        <v>23</v>
      </c>
      <c r="C14" s="39"/>
      <c r="D14" s="40"/>
      <c r="E14" s="40"/>
      <c r="F14" s="38"/>
      <c r="G14" s="38">
        <f>SUM(G11:G13)</f>
        <v>98.58</v>
      </c>
      <c r="H14" s="50">
        <f>+G14/$G$34</f>
        <v>0.88850833708877874</v>
      </c>
      <c r="I14" s="41"/>
      <c r="J14" s="44"/>
      <c r="K14" s="39"/>
      <c r="L14" s="75"/>
    </row>
    <row r="15" spans="1:12" s="1" customFormat="1" x14ac:dyDescent="0.25">
      <c r="A15" s="16" t="s">
        <v>15</v>
      </c>
      <c r="B15" s="16"/>
      <c r="C15" s="16"/>
      <c r="D15" s="17"/>
      <c r="E15" s="20"/>
      <c r="F15" s="17"/>
      <c r="G15" s="18"/>
      <c r="H15" s="46"/>
      <c r="I15" s="16"/>
      <c r="J15" s="46"/>
      <c r="K15" s="16"/>
    </row>
    <row r="16" spans="1:12" x14ac:dyDescent="0.25">
      <c r="A16" s="19"/>
      <c r="B16" s="19"/>
      <c r="C16" s="19"/>
      <c r="D16" s="20"/>
      <c r="E16" s="20"/>
      <c r="F16" s="20"/>
      <c r="G16" s="21"/>
      <c r="H16" s="47"/>
      <c r="I16" s="19"/>
      <c r="J16" s="47"/>
      <c r="K16" s="19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8">
        <f>+G19/$G$34</f>
        <v>0</v>
      </c>
      <c r="I19" s="22"/>
      <c r="J19" s="47"/>
      <c r="K19" s="19"/>
    </row>
    <row r="20" spans="1:12" s="1" customFormat="1" x14ac:dyDescent="0.25">
      <c r="A20" s="1" t="s">
        <v>16</v>
      </c>
      <c r="D20" s="7"/>
      <c r="E20" s="7"/>
      <c r="F20" s="7"/>
      <c r="G20" s="10"/>
      <c r="H20" s="4"/>
      <c r="J20" s="4"/>
    </row>
    <row r="21" spans="1:12" x14ac:dyDescent="0.25">
      <c r="B21" t="s">
        <v>20</v>
      </c>
      <c r="C21" s="3" t="s">
        <v>19</v>
      </c>
      <c r="D21" s="5">
        <v>2</v>
      </c>
      <c r="E21" s="5">
        <v>3.46</v>
      </c>
      <c r="F21" s="30">
        <v>0.9</v>
      </c>
      <c r="G21" s="5">
        <f t="shared" ref="G21:G22" si="0">ROUND(D21*E21*F21,2)</f>
        <v>6.23</v>
      </c>
      <c r="H21" s="45">
        <f>+G21/$G$34</f>
        <v>5.6151419558359623E-2</v>
      </c>
      <c r="I21" s="34">
        <f>+D21*F21</f>
        <v>1.8</v>
      </c>
      <c r="J21" s="53">
        <f>ROUND(F21/$F$33,4)</f>
        <v>0.43480000000000002</v>
      </c>
      <c r="K21" s="33">
        <f>+D21*J21</f>
        <v>0.86960000000000004</v>
      </c>
      <c r="L21" s="12">
        <f>+ROUND(K21,2)</f>
        <v>0.87</v>
      </c>
    </row>
    <row r="22" spans="1:12" x14ac:dyDescent="0.25">
      <c r="B22" t="s">
        <v>57</v>
      </c>
      <c r="C22" s="3" t="s">
        <v>19</v>
      </c>
      <c r="D22" s="5">
        <v>1</v>
      </c>
      <c r="E22" s="5">
        <v>4.29</v>
      </c>
      <c r="F22" s="30">
        <v>0.9</v>
      </c>
      <c r="G22" s="5">
        <f t="shared" si="0"/>
        <v>3.86</v>
      </c>
      <c r="H22" s="45">
        <f t="shared" ref="H22" si="1">+G22/$G$34</f>
        <v>3.4790446146913019E-2</v>
      </c>
      <c r="I22" s="34">
        <f t="shared" ref="I22" si="2">+D22*F22</f>
        <v>0.9</v>
      </c>
      <c r="J22" s="53">
        <f>ROUND(F22/$F$33,4)</f>
        <v>0.43480000000000002</v>
      </c>
      <c r="K22" s="33">
        <f t="shared" ref="K22:K23" si="3">+D22*J22</f>
        <v>0.43480000000000002</v>
      </c>
      <c r="L22" s="12">
        <f>+ROUND(K22,2)</f>
        <v>0.43</v>
      </c>
    </row>
    <row r="23" spans="1:12" x14ac:dyDescent="0.25">
      <c r="B23" t="s">
        <v>21</v>
      </c>
      <c r="C23" s="3" t="s">
        <v>19</v>
      </c>
      <c r="D23" s="5">
        <v>1</v>
      </c>
      <c r="E23" s="5">
        <v>5.1100000000000003</v>
      </c>
      <c r="F23" s="30">
        <v>0.27</v>
      </c>
      <c r="G23" s="5">
        <f>ROUND(D23*E23*F23,2)</f>
        <v>1.38</v>
      </c>
      <c r="H23" s="45">
        <f>+G23/$G$34</f>
        <v>1.2438035150968904E-2</v>
      </c>
      <c r="I23" s="34">
        <f>+D23*F23</f>
        <v>0.27</v>
      </c>
      <c r="J23" s="53">
        <f>ROUND(F23/$F$33,4)</f>
        <v>0.13039999999999999</v>
      </c>
      <c r="K23" s="33">
        <f t="shared" si="3"/>
        <v>0.13039999999999999</v>
      </c>
      <c r="L23" s="12">
        <f>+ROUND(K23,2)</f>
        <v>0.13</v>
      </c>
    </row>
    <row r="25" spans="1:12" x14ac:dyDescent="0.25">
      <c r="B25" s="7" t="s">
        <v>25</v>
      </c>
      <c r="D25" s="5">
        <f>SUM(D21:D23)</f>
        <v>4</v>
      </c>
      <c r="F25" s="12">
        <f>SUM(F21:F23)</f>
        <v>2.0700000000000003</v>
      </c>
      <c r="G25" s="10">
        <f>SUM(G21:G23)</f>
        <v>11.469999999999999</v>
      </c>
      <c r="H25" s="45">
        <f>+G25/$G$34</f>
        <v>0.10337990085624153</v>
      </c>
      <c r="I25" s="34">
        <f>SUM(I21:I23)</f>
        <v>2.97</v>
      </c>
      <c r="L25" s="34">
        <f>SUM(L21:L23)</f>
        <v>1.4300000000000002</v>
      </c>
    </row>
    <row r="26" spans="1:12" s="1" customFormat="1" x14ac:dyDescent="0.25">
      <c r="A26" s="16" t="s">
        <v>17</v>
      </c>
      <c r="B26" s="16"/>
      <c r="C26" s="16"/>
      <c r="D26" s="17"/>
      <c r="E26" s="17"/>
      <c r="F26" s="17"/>
      <c r="G26" s="18"/>
      <c r="H26" s="46"/>
      <c r="I26" s="16"/>
      <c r="J26" s="46"/>
      <c r="K26" s="16"/>
    </row>
    <row r="27" spans="1:12" x14ac:dyDescent="0.25">
      <c r="A27" s="19"/>
      <c r="B27" s="19"/>
      <c r="C27" s="19"/>
      <c r="D27" s="20"/>
      <c r="E27" s="20"/>
      <c r="F27" s="20"/>
      <c r="G27" s="21"/>
      <c r="H27" s="47"/>
      <c r="I27" s="19"/>
      <c r="J27" s="47"/>
      <c r="K27" s="19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19"/>
      <c r="E30" s="19"/>
      <c r="F30" s="19"/>
      <c r="G30" s="23"/>
      <c r="H30" s="47"/>
      <c r="I30" s="19"/>
      <c r="J30" s="47"/>
      <c r="K30" s="19"/>
    </row>
    <row r="31" spans="1:12" x14ac:dyDescent="0.2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8">
        <f>+G31/$G$34</f>
        <v>0</v>
      </c>
      <c r="I31" s="22"/>
      <c r="J31" s="47"/>
      <c r="K31" s="19"/>
    </row>
    <row r="33" spans="5:16" x14ac:dyDescent="0.25">
      <c r="E33" s="13" t="s">
        <v>31</v>
      </c>
      <c r="F33" s="35">
        <f>+IF(F25&gt;F9,F25,F9)</f>
        <v>2.0700000000000003</v>
      </c>
      <c r="G33" s="75" t="s">
        <v>49</v>
      </c>
      <c r="H33" s="75"/>
      <c r="I33" s="75"/>
      <c r="J33" s="75"/>
      <c r="K33" s="75"/>
      <c r="L33" s="75"/>
      <c r="M33" s="39"/>
      <c r="N33" s="39"/>
      <c r="O33" s="39"/>
      <c r="P33" s="39"/>
    </row>
    <row r="34" spans="5:16" x14ac:dyDescent="0.25">
      <c r="E34" s="1" t="s">
        <v>27</v>
      </c>
      <c r="G34" s="10">
        <f>+G9+G14+G19+G25+G31</f>
        <v>110.95</v>
      </c>
    </row>
    <row r="35" spans="5:16" x14ac:dyDescent="0.25">
      <c r="E35" s="1" t="s">
        <v>28</v>
      </c>
      <c r="G35" s="8">
        <f>+ROUND(0.12*G34,2)</f>
        <v>13.31</v>
      </c>
    </row>
    <row r="36" spans="5:16" x14ac:dyDescent="0.25">
      <c r="E36" s="1" t="s">
        <v>29</v>
      </c>
      <c r="G36" s="10">
        <f>+G34+G35</f>
        <v>124.26</v>
      </c>
    </row>
    <row r="38" spans="5:16" x14ac:dyDescent="0.25">
      <c r="K38" s="54"/>
    </row>
  </sheetData>
  <mergeCells count="2">
    <mergeCell ref="G33:L33"/>
    <mergeCell ref="L11:L1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9B0B-9E8C-4077-96FA-C68B1274EDB7}">
  <dimension ref="A1:P38"/>
  <sheetViews>
    <sheetView topLeftCell="B1" workbookViewId="0">
      <selection activeCell="F18" sqref="F18"/>
    </sheetView>
  </sheetViews>
  <sheetFormatPr baseColWidth="10" defaultRowHeight="15" x14ac:dyDescent="0.25"/>
  <cols>
    <col min="1" max="1" width="14.140625" bestFit="1" customWidth="1"/>
    <col min="2" max="2" width="22.85546875" customWidth="1"/>
    <col min="4" max="4" width="11.42578125" style="39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73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9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D6" s="36"/>
      <c r="G6" s="8"/>
      <c r="H6" s="4"/>
      <c r="J6" s="4"/>
    </row>
    <row r="7" spans="1:12" x14ac:dyDescent="0.25">
      <c r="B7" t="s">
        <v>18</v>
      </c>
      <c r="C7" s="3" t="s">
        <v>19</v>
      </c>
      <c r="D7" s="43">
        <v>2</v>
      </c>
      <c r="E7" s="5">
        <v>0.5</v>
      </c>
      <c r="F7" s="62">
        <f>0.9*'4(APU)'!D12</f>
        <v>1.8000000000000002E-2</v>
      </c>
      <c r="G7" s="70">
        <f>ROUND(D7*E7*F7,2)</f>
        <v>0.02</v>
      </c>
      <c r="H7" s="45">
        <f>+G7/$G$34</f>
        <v>9.0090090090090089E-3</v>
      </c>
      <c r="I7" s="12">
        <f>+D7*F7</f>
        <v>3.6000000000000004E-2</v>
      </c>
      <c r="J7" s="53">
        <f>ROUND(F7/$F$33,4)</f>
        <v>0.43480000000000002</v>
      </c>
      <c r="K7" s="33">
        <f>+D7*J7</f>
        <v>0.86960000000000004</v>
      </c>
      <c r="L7" s="12">
        <f>+ROUND(K7,2)</f>
        <v>0.87</v>
      </c>
    </row>
    <row r="8" spans="1:12" x14ac:dyDescent="0.25">
      <c r="D8" s="40"/>
      <c r="E8" s="6"/>
      <c r="F8" s="6"/>
      <c r="G8" s="9"/>
      <c r="H8" s="45"/>
      <c r="I8" s="11"/>
    </row>
    <row r="9" spans="1:12" x14ac:dyDescent="0.25">
      <c r="B9" s="7" t="s">
        <v>22</v>
      </c>
      <c r="D9" s="40"/>
      <c r="F9" s="12">
        <f>SUM(F7:F8)</f>
        <v>1.8000000000000002E-2</v>
      </c>
      <c r="G9" s="10">
        <f>SUM(G7:G8)</f>
        <v>0.02</v>
      </c>
      <c r="H9" s="45">
        <f>+G9/$G$34</f>
        <v>9.0090090090090089E-3</v>
      </c>
      <c r="I9" s="12">
        <f>SUM(I7:I8)</f>
        <v>3.6000000000000004E-2</v>
      </c>
      <c r="L9" s="12">
        <f>SUM(L7:L8)</f>
        <v>0.87</v>
      </c>
    </row>
    <row r="10" spans="1:12" s="1" customFormat="1" x14ac:dyDescent="0.25">
      <c r="A10" s="36" t="s">
        <v>14</v>
      </c>
      <c r="B10" s="36"/>
      <c r="C10" s="36"/>
      <c r="D10" s="37"/>
      <c r="E10" s="37"/>
      <c r="F10" s="37"/>
      <c r="G10" s="38"/>
      <c r="H10" s="49"/>
      <c r="I10" s="36"/>
      <c r="J10" s="49"/>
      <c r="K10" s="36"/>
    </row>
    <row r="11" spans="1:12" s="42" customFormat="1" ht="45" customHeight="1" x14ac:dyDescent="0.25">
      <c r="A11" s="51"/>
      <c r="B11" s="51" t="s">
        <v>76</v>
      </c>
      <c r="C11" s="44" t="s">
        <v>78</v>
      </c>
      <c r="D11" s="57">
        <f>10*'4(APU)'!D12</f>
        <v>0.2</v>
      </c>
      <c r="E11" s="43">
        <v>7.25</v>
      </c>
      <c r="F11" s="43"/>
      <c r="G11" s="5">
        <f>ROUND(D11*E11,2)</f>
        <v>1.45</v>
      </c>
      <c r="H11" s="45">
        <f>+G11/$G$34</f>
        <v>0.65315315315315303</v>
      </c>
      <c r="I11" s="44"/>
      <c r="J11" s="44"/>
      <c r="L11" s="75" t="s">
        <v>64</v>
      </c>
    </row>
    <row r="12" spans="1:12" x14ac:dyDescent="0.25">
      <c r="A12" s="39"/>
      <c r="B12" s="39" t="s">
        <v>77</v>
      </c>
      <c r="C12" s="56" t="s">
        <v>4</v>
      </c>
      <c r="D12" s="57">
        <f>1.15*'4(APU)'!$D$12</f>
        <v>2.3E-2</v>
      </c>
      <c r="E12" s="43">
        <v>20.5</v>
      </c>
      <c r="F12" s="43"/>
      <c r="G12" s="5">
        <f>ROUND(D12*E12,2)</f>
        <v>0.47</v>
      </c>
      <c r="H12" s="45">
        <f>+G12/$G$34</f>
        <v>0.21171171171171169</v>
      </c>
      <c r="I12" s="44"/>
      <c r="J12" s="44"/>
      <c r="K12" s="44"/>
      <c r="L12" s="75"/>
    </row>
    <row r="13" spans="1:12" x14ac:dyDescent="0.25">
      <c r="A13" s="39"/>
      <c r="B13" s="39" t="s">
        <v>74</v>
      </c>
      <c r="C13" s="56" t="s">
        <v>79</v>
      </c>
      <c r="D13" s="57">
        <f>250*'4(APU)'!$D$12</f>
        <v>5</v>
      </c>
      <c r="E13" s="43">
        <v>0.01</v>
      </c>
      <c r="F13" s="43"/>
      <c r="G13" s="5">
        <f>ROUND(D13*E13,2)</f>
        <v>0.05</v>
      </c>
      <c r="H13" s="45">
        <f>+G13/$G$34</f>
        <v>2.2522522522522521E-2</v>
      </c>
      <c r="I13" s="44"/>
      <c r="J13" s="44"/>
      <c r="K13" s="44"/>
      <c r="L13" s="75"/>
    </row>
    <row r="14" spans="1:12" x14ac:dyDescent="0.25">
      <c r="A14" s="39"/>
      <c r="B14" s="37" t="s">
        <v>23</v>
      </c>
      <c r="C14" s="39"/>
      <c r="D14" s="40"/>
      <c r="E14" s="40"/>
      <c r="F14" s="38"/>
      <c r="G14" s="38">
        <f>SUM(G11:G13)</f>
        <v>1.97</v>
      </c>
      <c r="H14" s="50">
        <f>+G14/$G$34</f>
        <v>0.88738738738738732</v>
      </c>
      <c r="I14" s="41"/>
      <c r="J14" s="44"/>
      <c r="K14" s="39"/>
      <c r="L14" s="75"/>
    </row>
    <row r="15" spans="1:12" s="1" customFormat="1" x14ac:dyDescent="0.25">
      <c r="A15" s="16" t="s">
        <v>15</v>
      </c>
      <c r="B15" s="16"/>
      <c r="C15" s="16"/>
      <c r="D15" s="16"/>
      <c r="E15" s="20"/>
      <c r="F15" s="17"/>
      <c r="G15" s="18"/>
      <c r="H15" s="46"/>
      <c r="I15" s="16"/>
      <c r="J15" s="46"/>
      <c r="K15" s="16"/>
    </row>
    <row r="16" spans="1:12" x14ac:dyDescent="0.25">
      <c r="A16" s="19"/>
      <c r="B16" s="19"/>
      <c r="C16" s="19"/>
      <c r="D16" s="19"/>
      <c r="E16" s="20"/>
      <c r="F16" s="20"/>
      <c r="G16" s="21"/>
      <c r="H16" s="47"/>
      <c r="I16" s="19"/>
      <c r="J16" s="47"/>
      <c r="K16" s="19"/>
    </row>
    <row r="17" spans="1:12" x14ac:dyDescent="0.25">
      <c r="A17" s="19"/>
      <c r="B17" s="19"/>
      <c r="C17" s="19"/>
      <c r="D17" s="19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19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7" t="s">
        <v>24</v>
      </c>
      <c r="C19" s="19"/>
      <c r="D19" s="19"/>
      <c r="E19" s="20"/>
      <c r="F19" s="18"/>
      <c r="G19" s="18">
        <f>SUM(G16:G18)</f>
        <v>0</v>
      </c>
      <c r="H19" s="48">
        <f>+G19/$G$34</f>
        <v>0</v>
      </c>
      <c r="I19" s="22"/>
      <c r="J19" s="47"/>
      <c r="K19" s="19"/>
    </row>
    <row r="20" spans="1:12" s="1" customFormat="1" x14ac:dyDescent="0.25">
      <c r="A20" s="1" t="s">
        <v>16</v>
      </c>
      <c r="D20" s="37"/>
      <c r="E20" s="7"/>
      <c r="F20" s="7"/>
      <c r="G20" s="10"/>
      <c r="H20" s="4"/>
      <c r="J20" s="4"/>
    </row>
    <row r="21" spans="1:12" x14ac:dyDescent="0.25">
      <c r="B21" t="s">
        <v>20</v>
      </c>
      <c r="C21" s="3" t="s">
        <v>19</v>
      </c>
      <c r="D21" s="43">
        <v>2</v>
      </c>
      <c r="E21" s="5">
        <v>3.46</v>
      </c>
      <c r="F21" s="62">
        <f>0.9*'4(APU)'!D12</f>
        <v>1.8000000000000002E-2</v>
      </c>
      <c r="G21" s="5">
        <f t="shared" ref="G21:G22" si="0">ROUND(D21*E21*F21,2)</f>
        <v>0.12</v>
      </c>
      <c r="H21" s="45">
        <f>+G21/$G$34</f>
        <v>5.405405405405405E-2</v>
      </c>
      <c r="I21" s="34">
        <f>+D21*F21</f>
        <v>3.6000000000000004E-2</v>
      </c>
      <c r="J21" s="53">
        <f>ROUND(F21/$F$33,4)</f>
        <v>0.43480000000000002</v>
      </c>
      <c r="K21" s="33">
        <f>+D21*J21</f>
        <v>0.86960000000000004</v>
      </c>
      <c r="L21" s="12">
        <f>+ROUND(K21,2)</f>
        <v>0.87</v>
      </c>
    </row>
    <row r="22" spans="1:12" x14ac:dyDescent="0.25">
      <c r="B22" t="s">
        <v>57</v>
      </c>
      <c r="C22" s="3" t="s">
        <v>19</v>
      </c>
      <c r="D22" s="43">
        <v>1</v>
      </c>
      <c r="E22" s="5">
        <v>4.29</v>
      </c>
      <c r="F22" s="62">
        <f>0.9*'4(APU)'!D12</f>
        <v>1.8000000000000002E-2</v>
      </c>
      <c r="G22" s="5">
        <f t="shared" si="0"/>
        <v>0.08</v>
      </c>
      <c r="H22" s="45">
        <f t="shared" ref="H22" si="1">+G22/$G$34</f>
        <v>3.6036036036036036E-2</v>
      </c>
      <c r="I22" s="34">
        <f t="shared" ref="I22" si="2">+D22*F22</f>
        <v>1.8000000000000002E-2</v>
      </c>
      <c r="J22" s="53">
        <f>ROUND(F22/$F$33,4)</f>
        <v>0.43480000000000002</v>
      </c>
      <c r="K22" s="33">
        <f t="shared" ref="K22:K23" si="3">+D22*J22</f>
        <v>0.43480000000000002</v>
      </c>
      <c r="L22" s="12">
        <f>+ROUND(K22,2)</f>
        <v>0.43</v>
      </c>
    </row>
    <row r="23" spans="1:12" x14ac:dyDescent="0.25">
      <c r="B23" t="s">
        <v>21</v>
      </c>
      <c r="C23" s="3" t="s">
        <v>19</v>
      </c>
      <c r="D23" s="43">
        <v>1</v>
      </c>
      <c r="E23" s="5">
        <v>5.1100000000000003</v>
      </c>
      <c r="F23" s="62">
        <f>0.27*'4(APU)'!D12</f>
        <v>5.4000000000000003E-3</v>
      </c>
      <c r="G23" s="5">
        <f>ROUND(D23*E23*F23,2)</f>
        <v>0.03</v>
      </c>
      <c r="H23" s="45">
        <f>+G23/$G$34</f>
        <v>1.3513513513513513E-2</v>
      </c>
      <c r="I23" s="34">
        <f>+D23*F23</f>
        <v>5.4000000000000003E-3</v>
      </c>
      <c r="J23" s="53">
        <f>ROUND(F23/$F$33,4)</f>
        <v>0.13039999999999999</v>
      </c>
      <c r="K23" s="33">
        <f t="shared" si="3"/>
        <v>0.13039999999999999</v>
      </c>
      <c r="L23" s="12">
        <f>+ROUND(K23,2)</f>
        <v>0.13</v>
      </c>
    </row>
    <row r="25" spans="1:12" x14ac:dyDescent="0.25">
      <c r="B25" s="7" t="s">
        <v>25</v>
      </c>
      <c r="D25" s="43">
        <f>SUM(D21:D23)</f>
        <v>4</v>
      </c>
      <c r="F25" s="12">
        <f>SUM(F21:F23)</f>
        <v>4.1400000000000006E-2</v>
      </c>
      <c r="G25" s="10">
        <f>SUM(G21:G23)</f>
        <v>0.23</v>
      </c>
      <c r="H25" s="45">
        <f>+G25/$G$34</f>
        <v>0.1036036036036036</v>
      </c>
      <c r="I25" s="34">
        <f>SUM(I21:I23)</f>
        <v>5.9400000000000008E-2</v>
      </c>
      <c r="L25" s="34">
        <f>SUM(L21:L23)</f>
        <v>1.4300000000000002</v>
      </c>
    </row>
    <row r="26" spans="1:12" s="1" customFormat="1" x14ac:dyDescent="0.25">
      <c r="A26" s="16" t="s">
        <v>17</v>
      </c>
      <c r="B26" s="16"/>
      <c r="C26" s="16"/>
      <c r="D26" s="16"/>
      <c r="E26" s="17"/>
      <c r="F26" s="17"/>
      <c r="G26" s="18"/>
      <c r="H26" s="46"/>
      <c r="I26" s="16"/>
      <c r="J26" s="46"/>
      <c r="K26" s="16"/>
    </row>
    <row r="27" spans="1:12" x14ac:dyDescent="0.25">
      <c r="A27" s="19"/>
      <c r="B27" s="19"/>
      <c r="C27" s="19"/>
      <c r="D27" s="19"/>
      <c r="E27" s="20"/>
      <c r="F27" s="20"/>
      <c r="G27" s="21"/>
      <c r="H27" s="47"/>
      <c r="I27" s="19"/>
      <c r="J27" s="47"/>
      <c r="K27" s="19"/>
    </row>
    <row r="28" spans="1:12" x14ac:dyDescent="0.25">
      <c r="A28" s="19"/>
      <c r="B28" s="19"/>
      <c r="C28" s="19"/>
      <c r="D28" s="19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19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19"/>
      <c r="E30" s="19"/>
      <c r="F30" s="19"/>
      <c r="G30" s="23"/>
      <c r="H30" s="47"/>
      <c r="I30" s="19"/>
      <c r="J30" s="47"/>
      <c r="K30" s="19"/>
    </row>
    <row r="31" spans="1:12" x14ac:dyDescent="0.2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8">
        <f>+G31/$G$34</f>
        <v>0</v>
      </c>
      <c r="I31" s="22"/>
      <c r="J31" s="47"/>
      <c r="K31" s="19"/>
    </row>
    <row r="33" spans="5:16" x14ac:dyDescent="0.25">
      <c r="E33" s="13" t="s">
        <v>31</v>
      </c>
      <c r="F33" s="35">
        <f>+IF(F25&gt;F9,F25,F9)</f>
        <v>4.1400000000000006E-2</v>
      </c>
      <c r="G33" s="75" t="s">
        <v>49</v>
      </c>
      <c r="H33" s="75"/>
      <c r="I33" s="75"/>
      <c r="J33" s="75"/>
      <c r="K33" s="75"/>
      <c r="L33" s="75"/>
      <c r="M33" s="39"/>
      <c r="N33" s="39"/>
      <c r="O33" s="39"/>
      <c r="P33" s="39"/>
    </row>
    <row r="34" spans="5:16" x14ac:dyDescent="0.25">
      <c r="E34" s="1" t="s">
        <v>27</v>
      </c>
      <c r="G34" s="58">
        <f>+G9+G14+G19+G25+G31</f>
        <v>2.2200000000000002</v>
      </c>
      <c r="H34" s="61" t="s">
        <v>80</v>
      </c>
      <c r="I34" s="60"/>
      <c r="J34" s="59"/>
      <c r="K34" s="60"/>
      <c r="L34" s="60"/>
    </row>
    <row r="35" spans="5:16" x14ac:dyDescent="0.25">
      <c r="E35" s="1" t="s">
        <v>28</v>
      </c>
      <c r="G35" s="8">
        <f>+ROUND(0.12*G34,2)</f>
        <v>0.27</v>
      </c>
    </row>
    <row r="36" spans="5:16" x14ac:dyDescent="0.25">
      <c r="E36" s="1" t="s">
        <v>29</v>
      </c>
      <c r="G36" s="10">
        <f>+G34+G35</f>
        <v>2.4900000000000002</v>
      </c>
    </row>
    <row r="38" spans="5:16" x14ac:dyDescent="0.25">
      <c r="K38" s="54"/>
    </row>
  </sheetData>
  <mergeCells count="2">
    <mergeCell ref="G33:L33"/>
    <mergeCell ref="L11:L14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08B-BD61-448B-95DB-4C54A2BD1455}">
  <dimension ref="A1:R39"/>
  <sheetViews>
    <sheetView workbookViewId="0">
      <selection activeCell="J12" sqref="J12"/>
    </sheetView>
  </sheetViews>
  <sheetFormatPr baseColWidth="10" defaultRowHeight="15" x14ac:dyDescent="0.25"/>
  <cols>
    <col min="1" max="1" width="14.140625" bestFit="1" customWidth="1"/>
    <col min="2" max="2" width="22.85546875" customWidth="1"/>
    <col min="4" max="4" width="11.42578125" style="39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8" x14ac:dyDescent="0.25">
      <c r="A1" s="1" t="s">
        <v>2</v>
      </c>
      <c r="B1" t="s">
        <v>68</v>
      </c>
      <c r="H1" s="4" t="s">
        <v>3</v>
      </c>
      <c r="I1" t="s">
        <v>70</v>
      </c>
    </row>
    <row r="3" spans="1:18" x14ac:dyDescent="0.25">
      <c r="A3" s="1" t="s">
        <v>5</v>
      </c>
      <c r="B3" t="s">
        <v>6</v>
      </c>
    </row>
    <row r="5" spans="1:18" s="4" customFormat="1" x14ac:dyDescent="0.25">
      <c r="A5" s="4" t="s">
        <v>7</v>
      </c>
      <c r="B5" s="4" t="s">
        <v>0</v>
      </c>
      <c r="C5" s="4" t="s">
        <v>8</v>
      </c>
      <c r="D5" s="49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8" s="1" customFormat="1" x14ac:dyDescent="0.25">
      <c r="A6" s="1" t="s">
        <v>13</v>
      </c>
      <c r="D6" s="36"/>
      <c r="G6" s="8"/>
      <c r="H6" s="4"/>
      <c r="J6" s="4"/>
    </row>
    <row r="7" spans="1:18" x14ac:dyDescent="0.25">
      <c r="B7" t="s">
        <v>18</v>
      </c>
      <c r="C7" s="3" t="s">
        <v>19</v>
      </c>
      <c r="D7" s="57">
        <f>1+'4(APU anidado con cantidad)'!D7</f>
        <v>3</v>
      </c>
      <c r="E7" s="5">
        <v>0.5</v>
      </c>
      <c r="F7" s="62">
        <f>+G7/D7/E7</f>
        <v>0.21333333333333335</v>
      </c>
      <c r="G7" s="57">
        <f>+'4(APU)'!G7+'4(APU anidado con cantidad)'!G7</f>
        <v>0.32</v>
      </c>
      <c r="H7" s="45">
        <f>+G7/$G$35</f>
        <v>2.2408963585434174E-2</v>
      </c>
      <c r="I7" s="12">
        <f>+D7*F7</f>
        <v>0.64</v>
      </c>
      <c r="J7" s="53">
        <f>ROUND(F7/$F$34,4)</f>
        <v>0.36570000000000003</v>
      </c>
      <c r="K7" s="33">
        <f>+D7*J7</f>
        <v>1.0971000000000002</v>
      </c>
      <c r="L7" s="12">
        <f>+ROUND(K7,2)</f>
        <v>1.1000000000000001</v>
      </c>
    </row>
    <row r="8" spans="1:18" x14ac:dyDescent="0.25">
      <c r="D8" s="40"/>
      <c r="E8" s="6"/>
      <c r="F8" s="6"/>
      <c r="G8" s="9"/>
      <c r="H8" s="45"/>
      <c r="I8" s="11"/>
    </row>
    <row r="9" spans="1:18" x14ac:dyDescent="0.25">
      <c r="B9" s="7" t="s">
        <v>22</v>
      </c>
      <c r="D9" s="40"/>
      <c r="F9" s="34">
        <f>SUM(F7:F8)</f>
        <v>0.21333333333333335</v>
      </c>
      <c r="G9" s="10">
        <f>SUM(G7:G8)</f>
        <v>0.32</v>
      </c>
      <c r="H9" s="45">
        <f>+G9/$G$35</f>
        <v>2.2408963585434174E-2</v>
      </c>
      <c r="I9" s="12">
        <f>SUM(I7:I8)</f>
        <v>0.64</v>
      </c>
      <c r="L9" s="12">
        <f>SUM(L7:L8)</f>
        <v>1.1000000000000001</v>
      </c>
    </row>
    <row r="10" spans="1:18" s="1" customFormat="1" x14ac:dyDescent="0.25">
      <c r="A10" s="36" t="s">
        <v>14</v>
      </c>
      <c r="B10" s="36"/>
      <c r="C10" s="36"/>
      <c r="D10" s="37"/>
      <c r="E10" s="37"/>
      <c r="F10" s="37"/>
      <c r="G10" s="38"/>
      <c r="H10" s="49"/>
      <c r="I10" s="36"/>
      <c r="J10" s="49"/>
      <c r="K10" s="36"/>
    </row>
    <row r="11" spans="1:18" s="1" customFormat="1" x14ac:dyDescent="0.25">
      <c r="A11" s="36"/>
      <c r="B11" s="51" t="s">
        <v>71</v>
      </c>
      <c r="C11" s="44" t="s">
        <v>72</v>
      </c>
      <c r="D11" s="43">
        <f>+'4(APU)'!D11</f>
        <v>13</v>
      </c>
      <c r="E11" s="43">
        <v>0.5</v>
      </c>
      <c r="F11" s="43"/>
      <c r="G11" s="5">
        <f>ROUND(D11*E11,2)</f>
        <v>6.5</v>
      </c>
      <c r="H11" s="45">
        <f>+G11/$G$35</f>
        <v>0.45518207282913159</v>
      </c>
      <c r="I11" s="36"/>
      <c r="J11" s="49"/>
      <c r="K11" s="36"/>
    </row>
    <row r="12" spans="1:18" s="42" customFormat="1" ht="45" customHeight="1" x14ac:dyDescent="0.25">
      <c r="A12" s="51"/>
      <c r="B12" s="51" t="s">
        <v>76</v>
      </c>
      <c r="C12" s="44" t="s">
        <v>78</v>
      </c>
      <c r="D12" s="57">
        <f>10*'4(APU)'!D12</f>
        <v>0.2</v>
      </c>
      <c r="E12" s="43">
        <v>7.25</v>
      </c>
      <c r="F12" s="43"/>
      <c r="G12" s="5">
        <f>ROUND(D12*E12,2)</f>
        <v>1.45</v>
      </c>
      <c r="H12" s="45">
        <f>+G12/$G$35</f>
        <v>0.10154061624649859</v>
      </c>
      <c r="I12" s="44"/>
      <c r="J12" s="44"/>
      <c r="L12" s="75" t="s">
        <v>64</v>
      </c>
      <c r="R12" s="1"/>
    </row>
    <row r="13" spans="1:18" x14ac:dyDescent="0.25">
      <c r="A13" s="39"/>
      <c r="B13" s="39" t="s">
        <v>77</v>
      </c>
      <c r="C13" s="56" t="s">
        <v>4</v>
      </c>
      <c r="D13" s="69">
        <f>1.15*'4(APU)'!$D$12</f>
        <v>2.3E-2</v>
      </c>
      <c r="E13" s="43">
        <v>20.5</v>
      </c>
      <c r="F13" s="43"/>
      <c r="G13" s="5">
        <f>ROUND(D13*E13,2)</f>
        <v>0.47</v>
      </c>
      <c r="H13" s="45">
        <f>+G13/$G$35</f>
        <v>3.2913165266106437E-2</v>
      </c>
      <c r="I13" s="44"/>
      <c r="J13" s="44"/>
      <c r="K13" s="44"/>
      <c r="L13" s="75"/>
    </row>
    <row r="14" spans="1:18" x14ac:dyDescent="0.25">
      <c r="A14" s="39"/>
      <c r="B14" s="39" t="s">
        <v>74</v>
      </c>
      <c r="C14" s="56" t="s">
        <v>79</v>
      </c>
      <c r="D14" s="57">
        <f>250*'4(APU)'!$D$12</f>
        <v>5</v>
      </c>
      <c r="E14" s="43">
        <v>0.01</v>
      </c>
      <c r="F14" s="43"/>
      <c r="G14" s="5">
        <f>ROUND(D14*E14,2)</f>
        <v>0.05</v>
      </c>
      <c r="H14" s="45">
        <f>+G14/$G$35</f>
        <v>3.5014005602240893E-3</v>
      </c>
      <c r="I14" s="44"/>
      <c r="J14" s="44"/>
      <c r="K14" s="44"/>
      <c r="L14" s="75"/>
    </row>
    <row r="15" spans="1:18" x14ac:dyDescent="0.25">
      <c r="A15" s="39"/>
      <c r="B15" s="37" t="s">
        <v>23</v>
      </c>
      <c r="C15" s="39"/>
      <c r="D15" s="40"/>
      <c r="E15" s="40"/>
      <c r="F15" s="38"/>
      <c r="G15" s="38">
        <f>SUM(G11:G14)</f>
        <v>8.4700000000000006</v>
      </c>
      <c r="H15" s="50">
        <f>+G15/$G$35</f>
        <v>0.59313725490196079</v>
      </c>
      <c r="I15" s="41"/>
      <c r="J15" s="44"/>
      <c r="K15" s="39"/>
      <c r="L15" s="75"/>
    </row>
    <row r="16" spans="1:18" s="1" customFormat="1" x14ac:dyDescent="0.25">
      <c r="A16" s="16" t="s">
        <v>15</v>
      </c>
      <c r="B16" s="16"/>
      <c r="C16" s="16"/>
      <c r="D16" s="16"/>
      <c r="E16" s="20"/>
      <c r="F16" s="17"/>
      <c r="G16" s="18"/>
      <c r="H16" s="46"/>
      <c r="I16" s="16"/>
      <c r="J16" s="46"/>
      <c r="K16" s="16"/>
    </row>
    <row r="17" spans="1:12" x14ac:dyDescent="0.25">
      <c r="A17" s="19"/>
      <c r="B17" s="19"/>
      <c r="C17" s="19"/>
      <c r="D17" s="19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19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9"/>
      <c r="C19" s="19"/>
      <c r="D19" s="19"/>
      <c r="E19" s="20"/>
      <c r="F19" s="20"/>
      <c r="G19" s="21"/>
      <c r="H19" s="47"/>
      <c r="I19" s="19"/>
      <c r="J19" s="47"/>
      <c r="K19" s="19"/>
    </row>
    <row r="20" spans="1:12" x14ac:dyDescent="0.25">
      <c r="A20" s="19"/>
      <c r="B20" s="17" t="s">
        <v>24</v>
      </c>
      <c r="C20" s="19"/>
      <c r="D20" s="19"/>
      <c r="E20" s="20"/>
      <c r="F20" s="18"/>
      <c r="G20" s="18">
        <f>SUM(G17:G19)</f>
        <v>0</v>
      </c>
      <c r="H20" s="48">
        <f>+G20/$G$35</f>
        <v>0</v>
      </c>
      <c r="I20" s="22"/>
      <c r="J20" s="47"/>
      <c r="K20" s="19"/>
    </row>
    <row r="21" spans="1:12" s="1" customFormat="1" x14ac:dyDescent="0.25">
      <c r="A21" s="1" t="s">
        <v>16</v>
      </c>
      <c r="D21" s="37"/>
      <c r="E21" s="7"/>
      <c r="F21" s="7"/>
      <c r="G21" s="10"/>
      <c r="H21" s="4"/>
      <c r="J21" s="4"/>
    </row>
    <row r="22" spans="1:12" x14ac:dyDescent="0.25">
      <c r="B22" t="s">
        <v>20</v>
      </c>
      <c r="C22" s="3" t="s">
        <v>19</v>
      </c>
      <c r="D22" s="57">
        <f>+'4(APU)'!D21+'4(APU anidado con cantidad)'!D21</f>
        <v>3</v>
      </c>
      <c r="E22" s="5">
        <v>3.46</v>
      </c>
      <c r="F22" s="62">
        <f>+G22/D22/E22</f>
        <v>0.21194605009633913</v>
      </c>
      <c r="G22" s="57">
        <f>+'4(APU)'!G21+'4(APU anidado con cantidad)'!G21</f>
        <v>2.2000000000000002</v>
      </c>
      <c r="H22" s="45">
        <f>+G22/$G$35</f>
        <v>0.15406162464985995</v>
      </c>
      <c r="I22" s="34">
        <f>+D22*F22</f>
        <v>0.63583815028901736</v>
      </c>
      <c r="J22" s="53">
        <f>ROUND(F22/$F$34,4)</f>
        <v>0.36330000000000001</v>
      </c>
      <c r="K22" s="33">
        <f>+D22*J22</f>
        <v>1.0899000000000001</v>
      </c>
      <c r="L22" s="12">
        <f>+ROUND(K22,2)</f>
        <v>1.0900000000000001</v>
      </c>
    </row>
    <row r="23" spans="1:12" x14ac:dyDescent="0.25">
      <c r="B23" t="s">
        <v>57</v>
      </c>
      <c r="C23" s="3" t="s">
        <v>19</v>
      </c>
      <c r="D23" s="57">
        <f>+'4(APU)'!D22+'4(APU anidado con cantidad)'!D22</f>
        <v>2</v>
      </c>
      <c r="E23" s="5">
        <v>4.29</v>
      </c>
      <c r="F23" s="62">
        <f>+G23/D23/E23</f>
        <v>0.30885780885780884</v>
      </c>
      <c r="G23" s="57">
        <f>+'4(APU)'!G22+'4(APU anidado con cantidad)'!G22</f>
        <v>2.65</v>
      </c>
      <c r="H23" s="45">
        <f t="shared" ref="H23" si="0">+G23/$G$35</f>
        <v>0.18557422969187673</v>
      </c>
      <c r="I23" s="34">
        <f t="shared" ref="I23:I24" si="1">+D23*F23</f>
        <v>0.61771561771561767</v>
      </c>
      <c r="J23" s="53">
        <f>ROUND(F23/$F$34,4)</f>
        <v>0.52939999999999998</v>
      </c>
      <c r="K23" s="33">
        <f t="shared" ref="K23:K24" si="2">+D23*J23</f>
        <v>1.0588</v>
      </c>
      <c r="L23" s="12">
        <f>+ROUND(K23,2)</f>
        <v>1.06</v>
      </c>
    </row>
    <row r="24" spans="1:12" x14ac:dyDescent="0.25">
      <c r="B24" t="s">
        <v>21</v>
      </c>
      <c r="C24" s="3" t="s">
        <v>19</v>
      </c>
      <c r="D24" s="57">
        <f>+'4(APU)'!D23+'4(APU anidado con cantidad)'!D23</f>
        <v>2</v>
      </c>
      <c r="E24" s="5">
        <v>5.1100000000000003</v>
      </c>
      <c r="F24" s="62">
        <f>+G24/D24/E24</f>
        <v>6.262230919765166E-2</v>
      </c>
      <c r="G24" s="57">
        <f>+'4(APU)'!G23+'4(APU anidado con cantidad)'!G23</f>
        <v>0.64</v>
      </c>
      <c r="H24" s="45">
        <f>+G24/$G$35</f>
        <v>4.4817927170868348E-2</v>
      </c>
      <c r="I24" s="34">
        <f t="shared" si="1"/>
        <v>0.12524461839530332</v>
      </c>
      <c r="J24" s="53">
        <f>ROUND(F24/$F$34,4)</f>
        <v>0.10730000000000001</v>
      </c>
      <c r="K24" s="33">
        <f t="shared" si="2"/>
        <v>0.21460000000000001</v>
      </c>
      <c r="L24" s="12">
        <f>+ROUND(K24,2)</f>
        <v>0.21</v>
      </c>
    </row>
    <row r="26" spans="1:12" x14ac:dyDescent="0.25">
      <c r="B26" s="7" t="s">
        <v>25</v>
      </c>
      <c r="D26" s="43">
        <f>SUM(D22:D24)</f>
        <v>7</v>
      </c>
      <c r="F26" s="34">
        <f>SUM(F22:F24)</f>
        <v>0.5834261681517996</v>
      </c>
      <c r="G26" s="10">
        <f>SUM(G22:G24)</f>
        <v>5.4899999999999993</v>
      </c>
      <c r="H26" s="45">
        <f>+G26/$G$35</f>
        <v>0.38445378151260495</v>
      </c>
      <c r="I26" s="34">
        <f>ROUND(SUM(I22:I24),2)</f>
        <v>1.38</v>
      </c>
      <c r="L26" s="34">
        <f>SUM(L22:L24)</f>
        <v>2.3600000000000003</v>
      </c>
    </row>
    <row r="27" spans="1:12" s="1" customFormat="1" x14ac:dyDescent="0.25">
      <c r="A27" s="16" t="s">
        <v>17</v>
      </c>
      <c r="B27" s="16"/>
      <c r="C27" s="16"/>
      <c r="D27" s="16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19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19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19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  <c r="L32" s="6"/>
    </row>
    <row r="34" spans="5:16" x14ac:dyDescent="0.25">
      <c r="E34" s="13" t="s">
        <v>31</v>
      </c>
      <c r="F34" s="66">
        <f>+IF(F26&gt;F9,F26,F9)</f>
        <v>0.5834261681517996</v>
      </c>
      <c r="G34" s="75" t="s">
        <v>49</v>
      </c>
      <c r="H34" s="75"/>
      <c r="I34" s="75"/>
      <c r="J34" s="75"/>
      <c r="K34" s="75"/>
      <c r="L34" s="75"/>
      <c r="M34" s="39"/>
      <c r="N34" s="39"/>
      <c r="O34" s="39"/>
      <c r="P34" s="39"/>
    </row>
    <row r="35" spans="5:16" x14ac:dyDescent="0.25">
      <c r="E35" s="1" t="s">
        <v>27</v>
      </c>
      <c r="G35" s="58">
        <f>+G9+G15+G20+G26+G32</f>
        <v>14.280000000000001</v>
      </c>
      <c r="H35" s="61" t="s">
        <v>80</v>
      </c>
      <c r="I35" s="60"/>
      <c r="J35" s="59"/>
      <c r="K35" s="60"/>
      <c r="L35" s="60"/>
    </row>
    <row r="36" spans="5:16" x14ac:dyDescent="0.25">
      <c r="E36" s="1" t="s">
        <v>28</v>
      </c>
      <c r="G36" s="8">
        <f>+ROUND(0.12*G35,2)</f>
        <v>1.71</v>
      </c>
    </row>
    <row r="37" spans="5:16" x14ac:dyDescent="0.25">
      <c r="E37" s="1" t="s">
        <v>29</v>
      </c>
      <c r="G37" s="10">
        <f>+G35+G36</f>
        <v>15.990000000000002</v>
      </c>
    </row>
    <row r="39" spans="5:16" x14ac:dyDescent="0.25">
      <c r="K39" s="54"/>
    </row>
  </sheetData>
  <mergeCells count="2">
    <mergeCell ref="G34:L34"/>
    <mergeCell ref="L12:L15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3CE5-3823-454B-9677-16F957511218}">
  <dimension ref="A1:P39"/>
  <sheetViews>
    <sheetView workbookViewId="0">
      <selection activeCell="H13" sqref="H13"/>
    </sheetView>
  </sheetViews>
  <sheetFormatPr baseColWidth="10" defaultRowHeight="15" x14ac:dyDescent="0.25"/>
  <cols>
    <col min="1" max="1" width="14.140625" bestFit="1" customWidth="1"/>
    <col min="2" max="2" width="20.42578125" customWidth="1"/>
    <col min="5" max="5" width="20.85546875" bestFit="1" customWidth="1"/>
    <col min="6" max="6" width="15" bestFit="1" customWidth="1"/>
    <col min="7" max="7" width="11.42578125" style="2"/>
    <col min="8" max="8" width="11.42578125" style="3"/>
    <col min="10" max="10" width="11.42578125" style="3"/>
    <col min="11" max="12" width="29" bestFit="1" customWidth="1"/>
  </cols>
  <sheetData>
    <row r="1" spans="1:12" x14ac:dyDescent="0.25">
      <c r="A1" s="1" t="s">
        <v>2</v>
      </c>
      <c r="B1" t="s">
        <v>69</v>
      </c>
      <c r="H1" s="4" t="s">
        <v>3</v>
      </c>
      <c r="I1" t="s">
        <v>4</v>
      </c>
    </row>
    <row r="3" spans="1:12" x14ac:dyDescent="0.25">
      <c r="A3" s="1" t="s">
        <v>5</v>
      </c>
      <c r="B3" t="s">
        <v>6</v>
      </c>
    </row>
    <row r="5" spans="1:12" s="4" customFormat="1" x14ac:dyDescent="0.2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60</v>
      </c>
      <c r="J5" s="4" t="s">
        <v>32</v>
      </c>
      <c r="K5" s="4" t="s">
        <v>65</v>
      </c>
      <c r="L5" s="4" t="s">
        <v>66</v>
      </c>
    </row>
    <row r="6" spans="1:12" s="1" customFormat="1" x14ac:dyDescent="0.25">
      <c r="A6" s="1" t="s">
        <v>13</v>
      </c>
      <c r="G6" s="8"/>
      <c r="H6" s="4"/>
      <c r="J6" s="4"/>
    </row>
    <row r="7" spans="1:12" x14ac:dyDescent="0.25">
      <c r="B7" t="s">
        <v>81</v>
      </c>
      <c r="C7" s="3" t="s">
        <v>19</v>
      </c>
      <c r="D7" s="5">
        <v>1</v>
      </c>
      <c r="E7" s="5">
        <v>20</v>
      </c>
      <c r="F7" s="30">
        <v>0.02</v>
      </c>
      <c r="G7" s="5">
        <f>ROUND(D7*E7*F7,2)</f>
        <v>0.4</v>
      </c>
      <c r="H7" s="45">
        <f>+G7/$G$35</f>
        <v>0.44444444444444448</v>
      </c>
      <c r="I7" s="12">
        <f>+D7*F7</f>
        <v>0.02</v>
      </c>
      <c r="J7" s="53">
        <f>ROUND(F7/$F$34,4)</f>
        <v>1</v>
      </c>
      <c r="K7" s="33">
        <f>+D7*J7</f>
        <v>1</v>
      </c>
      <c r="L7" s="12">
        <f>+ROUND(K7,2)</f>
        <v>1</v>
      </c>
    </row>
    <row r="8" spans="1:12" x14ac:dyDescent="0.25">
      <c r="C8" s="3"/>
      <c r="D8" s="9"/>
      <c r="E8" s="9"/>
      <c r="F8" s="30"/>
      <c r="G8" s="5"/>
      <c r="H8" s="45"/>
      <c r="I8" s="11"/>
    </row>
    <row r="9" spans="1:12" x14ac:dyDescent="0.25">
      <c r="D9" s="6"/>
      <c r="E9" s="6"/>
      <c r="F9" s="6"/>
      <c r="G9" s="9"/>
      <c r="H9" s="45"/>
      <c r="I9" s="11"/>
    </row>
    <row r="10" spans="1:12" x14ac:dyDescent="0.25">
      <c r="B10" s="7" t="s">
        <v>22</v>
      </c>
      <c r="D10" s="6"/>
      <c r="F10" s="12">
        <f>SUM(F7:F9)</f>
        <v>0.02</v>
      </c>
      <c r="G10" s="10">
        <f>SUM(G7:G9)</f>
        <v>0.4</v>
      </c>
      <c r="H10" s="45">
        <f>+G10/$G$35</f>
        <v>0.44444444444444448</v>
      </c>
      <c r="I10" s="12">
        <f>SUM(I7:I9)</f>
        <v>0.02</v>
      </c>
      <c r="L10" s="12">
        <f>SUM(L7:L9)</f>
        <v>1</v>
      </c>
    </row>
    <row r="11" spans="1:12" s="1" customFormat="1" x14ac:dyDescent="0.25">
      <c r="A11" s="36" t="s">
        <v>14</v>
      </c>
      <c r="B11" s="36"/>
      <c r="C11" s="36"/>
      <c r="D11" s="37"/>
      <c r="E11" s="37"/>
      <c r="F11" s="37"/>
      <c r="G11" s="38"/>
      <c r="H11" s="49"/>
      <c r="I11" s="36"/>
      <c r="J11" s="49"/>
      <c r="K11" s="36"/>
    </row>
    <row r="12" spans="1:12" s="42" customFormat="1" ht="60" x14ac:dyDescent="0.25">
      <c r="A12" s="51"/>
      <c r="B12" s="67" t="s">
        <v>75</v>
      </c>
      <c r="C12" s="51" t="s">
        <v>4</v>
      </c>
      <c r="D12" s="43">
        <v>1</v>
      </c>
      <c r="E12" s="43">
        <v>0.4</v>
      </c>
      <c r="F12" s="43"/>
      <c r="G12" s="5">
        <f>ROUND(D12*E12,2)</f>
        <v>0.4</v>
      </c>
      <c r="H12" s="45">
        <f>+G12/$G$35</f>
        <v>0.44444444444444448</v>
      </c>
      <c r="I12" s="44"/>
      <c r="J12" s="44"/>
      <c r="L12" s="52" t="s">
        <v>64</v>
      </c>
    </row>
    <row r="13" spans="1:12" x14ac:dyDescent="0.25">
      <c r="A13" s="39"/>
      <c r="B13" s="39"/>
      <c r="C13" s="39"/>
      <c r="D13" s="43"/>
      <c r="E13" s="43"/>
      <c r="F13" s="43"/>
      <c r="G13" s="43"/>
      <c r="H13" s="44"/>
      <c r="I13" s="44"/>
      <c r="J13" s="44"/>
      <c r="K13" s="44"/>
    </row>
    <row r="14" spans="1:12" x14ac:dyDescent="0.25">
      <c r="A14" s="39"/>
      <c r="B14" s="39"/>
      <c r="C14" s="39"/>
      <c r="D14" s="43"/>
      <c r="E14" s="43"/>
      <c r="F14" s="43"/>
      <c r="G14" s="43"/>
      <c r="H14" s="44"/>
      <c r="I14" s="44"/>
      <c r="J14" s="44"/>
      <c r="K14" s="44"/>
    </row>
    <row r="15" spans="1:12" x14ac:dyDescent="0.25">
      <c r="A15" s="39"/>
      <c r="B15" s="37" t="s">
        <v>23</v>
      </c>
      <c r="C15" s="39"/>
      <c r="D15" s="40"/>
      <c r="E15" s="40"/>
      <c r="F15" s="38"/>
      <c r="G15" s="38">
        <f>SUM(G12:G14)</f>
        <v>0.4</v>
      </c>
      <c r="H15" s="50">
        <f>+G15/$G$35</f>
        <v>0.44444444444444448</v>
      </c>
      <c r="I15" s="41"/>
      <c r="J15" s="44"/>
      <c r="K15" s="39"/>
    </row>
    <row r="16" spans="1:12" s="1" customFormat="1" x14ac:dyDescent="0.25">
      <c r="A16" s="16" t="s">
        <v>15</v>
      </c>
      <c r="B16" s="16"/>
      <c r="C16" s="16"/>
      <c r="D16" s="17"/>
      <c r="E16" s="20"/>
      <c r="F16" s="17"/>
      <c r="G16" s="18"/>
      <c r="H16" s="46"/>
      <c r="I16" s="16"/>
      <c r="J16" s="46"/>
      <c r="K16" s="16"/>
    </row>
    <row r="17" spans="1:12" x14ac:dyDescent="0.25">
      <c r="A17" s="19"/>
      <c r="B17" s="19"/>
      <c r="C17" s="19"/>
      <c r="D17" s="20"/>
      <c r="E17" s="20"/>
      <c r="F17" s="20"/>
      <c r="G17" s="21"/>
      <c r="H17" s="47"/>
      <c r="I17" s="19"/>
      <c r="J17" s="47"/>
      <c r="K17" s="19"/>
    </row>
    <row r="18" spans="1:12" x14ac:dyDescent="0.25">
      <c r="A18" s="19"/>
      <c r="B18" s="19"/>
      <c r="C18" s="19"/>
      <c r="D18" s="20"/>
      <c r="E18" s="20"/>
      <c r="F18" s="20"/>
      <c r="G18" s="21"/>
      <c r="H18" s="47"/>
      <c r="I18" s="19"/>
      <c r="J18" s="47"/>
      <c r="K18" s="19"/>
    </row>
    <row r="19" spans="1:12" x14ac:dyDescent="0.25">
      <c r="A19" s="19"/>
      <c r="B19" s="19"/>
      <c r="C19" s="19"/>
      <c r="D19" s="20"/>
      <c r="E19" s="20"/>
      <c r="F19" s="20"/>
      <c r="G19" s="21"/>
      <c r="H19" s="47"/>
      <c r="I19" s="19"/>
      <c r="J19" s="47"/>
      <c r="K19" s="19"/>
    </row>
    <row r="20" spans="1:12" x14ac:dyDescent="0.2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8">
        <f>+G20/$G$35</f>
        <v>0</v>
      </c>
      <c r="I20" s="22"/>
      <c r="J20" s="47"/>
      <c r="K20" s="19"/>
    </row>
    <row r="21" spans="1:12" s="1" customFormat="1" x14ac:dyDescent="0.25">
      <c r="A21" s="1" t="s">
        <v>16</v>
      </c>
      <c r="D21" s="7"/>
      <c r="E21" s="7"/>
      <c r="F21" s="7"/>
      <c r="G21" s="10"/>
      <c r="H21" s="4"/>
      <c r="J21" s="4"/>
    </row>
    <row r="22" spans="1:12" x14ac:dyDescent="0.25">
      <c r="B22" t="s">
        <v>82</v>
      </c>
      <c r="C22" s="3" t="s">
        <v>19</v>
      </c>
      <c r="D22" s="5">
        <v>1</v>
      </c>
      <c r="E22" s="5">
        <v>5</v>
      </c>
      <c r="F22" s="30">
        <v>0.02</v>
      </c>
      <c r="G22" s="5">
        <f t="shared" ref="G22" si="0">ROUND(D22*E22*F22,2)</f>
        <v>0.1</v>
      </c>
      <c r="H22" s="45">
        <f>+G22/$G$35</f>
        <v>0.11111111111111112</v>
      </c>
      <c r="I22" s="34">
        <f>+D22*F22</f>
        <v>0.02</v>
      </c>
      <c r="J22" s="53">
        <f>ROUND(F22/$F$34,4)</f>
        <v>1</v>
      </c>
      <c r="K22" s="33">
        <f>+D22*J22</f>
        <v>1</v>
      </c>
      <c r="L22" s="12">
        <f>+ROUND(K22,2)</f>
        <v>1</v>
      </c>
    </row>
    <row r="26" spans="1:12" x14ac:dyDescent="0.25">
      <c r="B26" s="7" t="s">
        <v>25</v>
      </c>
      <c r="D26" s="5">
        <f>SUM(D22:D24)</f>
        <v>1</v>
      </c>
      <c r="F26" s="12">
        <f>SUM(F22:F24)</f>
        <v>0.02</v>
      </c>
      <c r="G26" s="10">
        <f>SUM(G22:G24)</f>
        <v>0.1</v>
      </c>
      <c r="H26" s="45">
        <f>+G26/$G$35</f>
        <v>0.11111111111111112</v>
      </c>
      <c r="I26" s="34">
        <f>SUM(I22:I24)</f>
        <v>0.02</v>
      </c>
      <c r="L26" s="34">
        <f>SUM(L22:L24)</f>
        <v>1</v>
      </c>
    </row>
    <row r="27" spans="1:12" s="1" customFormat="1" x14ac:dyDescent="0.25">
      <c r="A27" s="16" t="s">
        <v>17</v>
      </c>
      <c r="B27" s="16"/>
      <c r="C27" s="16"/>
      <c r="D27" s="17"/>
      <c r="E27" s="17"/>
      <c r="F27" s="17"/>
      <c r="G27" s="18"/>
      <c r="H27" s="46"/>
      <c r="I27" s="16"/>
      <c r="J27" s="46"/>
      <c r="K27" s="16"/>
    </row>
    <row r="28" spans="1:12" x14ac:dyDescent="0.25">
      <c r="A28" s="19"/>
      <c r="B28" s="19"/>
      <c r="C28" s="19"/>
      <c r="D28" s="20"/>
      <c r="E28" s="20"/>
      <c r="F28" s="20"/>
      <c r="G28" s="21"/>
      <c r="H28" s="47"/>
      <c r="I28" s="19"/>
      <c r="J28" s="47"/>
      <c r="K28" s="19"/>
    </row>
    <row r="29" spans="1:12" x14ac:dyDescent="0.25">
      <c r="A29" s="19"/>
      <c r="B29" s="19"/>
      <c r="C29" s="19"/>
      <c r="D29" s="20"/>
      <c r="E29" s="20"/>
      <c r="F29" s="20"/>
      <c r="G29" s="21"/>
      <c r="H29" s="47"/>
      <c r="I29" s="19"/>
      <c r="J29" s="47"/>
      <c r="K29" s="19"/>
    </row>
    <row r="30" spans="1:12" x14ac:dyDescent="0.25">
      <c r="A30" s="19"/>
      <c r="B30" s="19"/>
      <c r="C30" s="19"/>
      <c r="D30" s="20"/>
      <c r="E30" s="20"/>
      <c r="F30" s="20"/>
      <c r="G30" s="21"/>
      <c r="H30" s="47"/>
      <c r="I30" s="19"/>
      <c r="J30" s="47"/>
      <c r="K30" s="19"/>
    </row>
    <row r="31" spans="1:12" x14ac:dyDescent="0.25">
      <c r="A31" s="19"/>
      <c r="B31" s="19"/>
      <c r="C31" s="19"/>
      <c r="D31" s="19"/>
      <c r="E31" s="19"/>
      <c r="F31" s="19"/>
      <c r="G31" s="23"/>
      <c r="H31" s="47"/>
      <c r="I31" s="19"/>
      <c r="J31" s="47"/>
      <c r="K31" s="19"/>
    </row>
    <row r="32" spans="1:12" x14ac:dyDescent="0.2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8">
        <f>+G32/$G$35</f>
        <v>0</v>
      </c>
      <c r="I32" s="22"/>
      <c r="J32" s="47"/>
      <c r="K32" s="19"/>
    </row>
    <row r="34" spans="5:16" x14ac:dyDescent="0.25">
      <c r="E34" s="13" t="s">
        <v>31</v>
      </c>
      <c r="F34" s="35">
        <f>+IF(F26&gt;F10,F26,F10)</f>
        <v>0.02</v>
      </c>
      <c r="G34" s="75" t="s">
        <v>49</v>
      </c>
      <c r="H34" s="75"/>
      <c r="I34" s="75"/>
      <c r="J34" s="75"/>
      <c r="K34" s="75"/>
      <c r="L34" s="75"/>
      <c r="M34" s="39"/>
      <c r="N34" s="39"/>
      <c r="O34" s="39"/>
      <c r="P34" s="39"/>
    </row>
    <row r="35" spans="5:16" x14ac:dyDescent="0.25">
      <c r="E35" s="1" t="s">
        <v>27</v>
      </c>
      <c r="G35" s="10">
        <f>+G10+G15+G20+G26+G32</f>
        <v>0.9</v>
      </c>
    </row>
    <row r="36" spans="5:16" x14ac:dyDescent="0.25">
      <c r="E36" s="1" t="s">
        <v>28</v>
      </c>
      <c r="G36" s="8">
        <f>+ROUND(0.12*G35,2)</f>
        <v>0.11</v>
      </c>
    </row>
    <row r="37" spans="5:16" x14ac:dyDescent="0.25">
      <c r="E37" s="1" t="s">
        <v>29</v>
      </c>
      <c r="G37" s="10">
        <f>+G35+G36</f>
        <v>1.01</v>
      </c>
    </row>
    <row r="39" spans="5:16" x14ac:dyDescent="0.25">
      <c r="K39" s="54"/>
    </row>
  </sheetData>
  <mergeCells count="1">
    <mergeCell ref="G34:L3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Calculo</vt:lpstr>
      <vt:lpstr>6</vt:lpstr>
      <vt:lpstr>1</vt:lpstr>
      <vt:lpstr>2</vt:lpstr>
      <vt:lpstr>3</vt:lpstr>
      <vt:lpstr>4(APU)</vt:lpstr>
      <vt:lpstr>4(APU anidado)</vt:lpstr>
      <vt:lpstr>4(APU anidado con cantidad)</vt:lpstr>
      <vt:lpstr>4(APU unificado)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</cp:lastModifiedBy>
  <dcterms:created xsi:type="dcterms:W3CDTF">2023-08-17T22:06:09Z</dcterms:created>
  <dcterms:modified xsi:type="dcterms:W3CDTF">2023-09-01T14:57:35Z</dcterms:modified>
</cp:coreProperties>
</file>