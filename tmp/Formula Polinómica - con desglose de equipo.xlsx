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ntiago\Desktop\"/>
    </mc:Choice>
  </mc:AlternateContent>
  <xr:revisionPtr revIDLastSave="0" documentId="13_ncr:1_{8C34EFFC-9EA1-40FF-9AFE-BC9CC4E828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upuesto" sheetId="2" r:id="rId1"/>
    <sheet name="504055" sheetId="3" r:id="rId2"/>
    <sheet name="504001" sheetId="4" r:id="rId3"/>
    <sheet name="505055" sheetId="5" r:id="rId4"/>
    <sheet name="510037" sheetId="6" r:id="rId5"/>
    <sheet name="508003" sheetId="7" r:id="rId6"/>
    <sheet name="506004" sheetId="8" r:id="rId7"/>
    <sheet name="Agrupación de Recursos" sheetId="9" r:id="rId8"/>
    <sheet name="Desglose Equipo y Transporte" sheetId="13" r:id="rId9"/>
    <sheet name="Indices y Coeficientes" sheetId="10" r:id="rId10"/>
    <sheet name="Cuadrilla Tipo" sheetId="11" r:id="rId11"/>
    <sheet name="Resume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2" l="1"/>
  <c r="C6" i="12"/>
  <c r="C7" i="12"/>
  <c r="C8" i="12"/>
  <c r="C9" i="12"/>
  <c r="C10" i="12"/>
  <c r="C11" i="12"/>
  <c r="C4" i="12"/>
  <c r="B5" i="12"/>
  <c r="B6" i="12"/>
  <c r="B7" i="12"/>
  <c r="B8" i="12"/>
  <c r="B9" i="12"/>
  <c r="B10" i="12"/>
  <c r="B11" i="12"/>
  <c r="A11" i="12"/>
  <c r="A6" i="12"/>
  <c r="A7" i="12"/>
  <c r="A8" i="12"/>
  <c r="A9" i="12"/>
  <c r="B4" i="12"/>
  <c r="A4" i="12"/>
  <c r="G20" i="12"/>
  <c r="G21" i="12"/>
  <c r="G23" i="12"/>
  <c r="G19" i="12"/>
  <c r="G15" i="9"/>
  <c r="G31" i="9" s="1"/>
  <c r="G26" i="9"/>
  <c r="G20" i="9"/>
  <c r="G8" i="9"/>
  <c r="G3" i="9"/>
  <c r="A9" i="10"/>
  <c r="A10" i="12" s="1"/>
  <c r="A4" i="10"/>
  <c r="A5" i="12" s="1"/>
  <c r="D9" i="13"/>
  <c r="D13" i="13" s="1"/>
  <c r="D9" i="10" s="1"/>
  <c r="G10" i="12" s="1"/>
  <c r="H20" i="9" l="1"/>
  <c r="H3" i="9"/>
  <c r="H8" i="9"/>
  <c r="H15" i="9"/>
  <c r="D14" i="13"/>
  <c r="D10" i="10" s="1"/>
  <c r="G11" i="12" s="1"/>
  <c r="D12" i="13"/>
  <c r="D6" i="10" s="1"/>
  <c r="G7" i="12" s="1"/>
  <c r="D10" i="13"/>
  <c r="B5" i="13" s="1"/>
  <c r="D11" i="13"/>
  <c r="D4" i="10" s="1"/>
  <c r="G5" i="12" s="1"/>
  <c r="G6" i="11" l="1"/>
  <c r="H6" i="11"/>
  <c r="G22" i="12" s="1"/>
  <c r="G24" i="12" s="1"/>
  <c r="F25" i="9" l="1"/>
  <c r="G25" i="9" s="1"/>
  <c r="H7" i="11" s="1"/>
  <c r="F24" i="9"/>
  <c r="G24" i="9" s="1"/>
  <c r="F23" i="9"/>
  <c r="G23" i="9" s="1"/>
  <c r="H5" i="11" s="1"/>
  <c r="F22" i="9"/>
  <c r="G22" i="9" s="1"/>
  <c r="H4" i="11" s="1"/>
  <c r="F21" i="9"/>
  <c r="G21" i="9" s="1"/>
  <c r="H3" i="11" s="1"/>
  <c r="F14" i="9"/>
  <c r="G14" i="9" s="1"/>
  <c r="F13" i="9"/>
  <c r="G13" i="9" s="1"/>
  <c r="F12" i="9"/>
  <c r="G12" i="9" s="1"/>
  <c r="F11" i="9"/>
  <c r="G11" i="9" s="1"/>
  <c r="F10" i="9"/>
  <c r="G10" i="9" s="1"/>
  <c r="F9" i="9"/>
  <c r="F7" i="9"/>
  <c r="G7" i="9" s="1"/>
  <c r="F6" i="9"/>
  <c r="G6" i="9" s="1"/>
  <c r="F5" i="9"/>
  <c r="G5" i="9" s="1"/>
  <c r="F4" i="9"/>
  <c r="G4" i="9" s="1"/>
  <c r="M27" i="7"/>
  <c r="M26" i="7"/>
  <c r="M25" i="7"/>
  <c r="K30" i="7"/>
  <c r="M28" i="7"/>
  <c r="K29" i="7"/>
  <c r="K28" i="7"/>
  <c r="G9" i="9"/>
  <c r="D3" i="10" l="1"/>
  <c r="G4" i="12" s="1"/>
  <c r="G7" i="11"/>
  <c r="F23" i="12" s="1"/>
  <c r="D7" i="10"/>
  <c r="G8" i="12" s="1"/>
  <c r="D5" i="10"/>
  <c r="G6" i="12" s="1"/>
  <c r="H8" i="11"/>
  <c r="I7" i="11" s="1"/>
  <c r="H23" i="12" s="1"/>
  <c r="F22" i="12"/>
  <c r="G5" i="11"/>
  <c r="F21" i="12" s="1"/>
  <c r="G3" i="11"/>
  <c r="F19" i="12" s="1"/>
  <c r="G4" i="11"/>
  <c r="F20" i="12" s="1"/>
  <c r="D8" i="10"/>
  <c r="G9" i="12" s="1"/>
  <c r="G12" i="12" l="1"/>
  <c r="F24" i="12"/>
  <c r="I3" i="11"/>
  <c r="H19" i="12" s="1"/>
  <c r="I5" i="11"/>
  <c r="H21" i="12" s="1"/>
  <c r="I6" i="11"/>
  <c r="H22" i="12" s="1"/>
  <c r="G8" i="11"/>
  <c r="I4" i="11"/>
  <c r="H20" i="12" s="1"/>
  <c r="D11" i="10"/>
  <c r="H24" i="12" l="1"/>
  <c r="E5" i="10"/>
  <c r="H6" i="12" s="1"/>
  <c r="E9" i="10"/>
  <c r="H10" i="12" s="1"/>
  <c r="E4" i="10"/>
  <c r="H5" i="12" s="1"/>
  <c r="E10" i="10"/>
  <c r="H11" i="12" s="1"/>
  <c r="E11" i="10"/>
  <c r="E7" i="10"/>
  <c r="H8" i="12" s="1"/>
  <c r="E8" i="10"/>
  <c r="H9" i="12" s="1"/>
  <c r="E3" i="10"/>
  <c r="H4" i="12" s="1"/>
  <c r="E6" i="10"/>
  <c r="H7" i="12" s="1"/>
  <c r="I8" i="11"/>
  <c r="H5" i="9"/>
  <c r="H10" i="9"/>
  <c r="H26" i="9"/>
  <c r="H12" i="12" l="1"/>
  <c r="H4" i="9"/>
  <c r="H7" i="9"/>
  <c r="H24" i="9"/>
  <c r="H9" i="9"/>
  <c r="H31" i="9"/>
  <c r="H14" i="9"/>
  <c r="H11" i="9"/>
  <c r="H12" i="9"/>
  <c r="H6" i="9"/>
  <c r="H21" i="9"/>
  <c r="H13" i="9"/>
  <c r="H23" i="9"/>
  <c r="H22" i="9"/>
  <c r="H25" i="9"/>
</calcChain>
</file>

<file path=xl/sharedStrings.xml><?xml version="1.0" encoding="utf-8"?>
<sst xmlns="http://schemas.openxmlformats.org/spreadsheetml/2006/main" count="588" uniqueCount="171">
  <si>
    <t>Prueba de exportacion de datos para project</t>
  </si>
  <si>
    <t xml:space="preserve">Oferente: </t>
  </si>
  <si>
    <t/>
  </si>
  <si>
    <t>Ubicación:</t>
  </si>
  <si>
    <t xml:space="preserve">Fecha:    </t>
  </si>
  <si>
    <t>17/08/2023</t>
  </si>
  <si>
    <t>PRESUPUESTO</t>
  </si>
  <si>
    <t>Ítem</t>
  </si>
  <si>
    <t>Código</t>
  </si>
  <si>
    <t>Descripción</t>
  </si>
  <si>
    <t>Unidad</t>
  </si>
  <si>
    <t>Cantidad</t>
  </si>
  <si>
    <t>P.Unitario</t>
  </si>
  <si>
    <t>P.Total</t>
  </si>
  <si>
    <t>1</t>
  </si>
  <si>
    <t>504055</t>
  </si>
  <si>
    <t>Excavación manual, zanja 0-2 m, material sin clasificar</t>
  </si>
  <si>
    <t>m3</t>
  </si>
  <si>
    <t>2</t>
  </si>
  <si>
    <t>504001</t>
  </si>
  <si>
    <t>Excavación a máquina con retroexcavadora</t>
  </si>
  <si>
    <t>3</t>
  </si>
  <si>
    <t>505055</t>
  </si>
  <si>
    <t>Relleno compactado con material de mejoramiento cribado</t>
  </si>
  <si>
    <t>4</t>
  </si>
  <si>
    <t>510037</t>
  </si>
  <si>
    <t>Mampostería de bloque e=15cm</t>
  </si>
  <si>
    <t>m2</t>
  </si>
  <si>
    <t>5</t>
  </si>
  <si>
    <t>506004</t>
  </si>
  <si>
    <t>Transporte de materiales hasta 6 km, incluye pago en escombrera</t>
  </si>
  <si>
    <t>SUBTOTAL</t>
  </si>
  <si>
    <t>IVA</t>
  </si>
  <si>
    <t>12 %</t>
  </si>
  <si>
    <t>TOTAL</t>
  </si>
  <si>
    <t>Son:</t>
  </si>
  <si>
    <t>TRES MIL DOSCIENTOS TREINTA  CON 40/100 DÓLARES DE LOS ESTADOS UNIDOS DE AMÉRICA</t>
  </si>
  <si>
    <t>Análisis de  Precios  Unitarios</t>
  </si>
  <si>
    <t>Código:</t>
  </si>
  <si>
    <t>Descrip.:</t>
  </si>
  <si>
    <t>Unidad:</t>
  </si>
  <si>
    <t>COSTOS DIRECTOS</t>
  </si>
  <si>
    <t>Equipo y herramienta</t>
  </si>
  <si>
    <t>Precio</t>
  </si>
  <si>
    <t>Rendim.</t>
  </si>
  <si>
    <t>Total</t>
  </si>
  <si>
    <t>%</t>
  </si>
  <si>
    <t>101022</t>
  </si>
  <si>
    <t>Herramientas varias</t>
  </si>
  <si>
    <t>Hora</t>
  </si>
  <si>
    <t xml:space="preserve">Subtotal de Equipo: </t>
  </si>
  <si>
    <t>Materiales</t>
  </si>
  <si>
    <t xml:space="preserve">Subtotal de Materiales: </t>
  </si>
  <si>
    <t>Transporte</t>
  </si>
  <si>
    <t>Tarifa/U</t>
  </si>
  <si>
    <t>Distancia</t>
  </si>
  <si>
    <t xml:space="preserve">Subtotal de Transporte: </t>
  </si>
  <si>
    <t>Mano de Obra</t>
  </si>
  <si>
    <t>Número</t>
  </si>
  <si>
    <t>S.R.H.</t>
  </si>
  <si>
    <t>402015</t>
  </si>
  <si>
    <t>Peón</t>
  </si>
  <si>
    <t>404006</t>
  </si>
  <si>
    <t>Maestro mayor en ejecución de obras civiles</t>
  </si>
  <si>
    <t xml:space="preserve">Subtotal de Mano de Obra: </t>
  </si>
  <si>
    <t xml:space="preserve">Costo Directo Total: </t>
  </si>
  <si>
    <t>COSTOS INDIRECTOS</t>
  </si>
  <si>
    <t>Precio Unitario Total .................................................................................................</t>
  </si>
  <si>
    <t>DIEZ  CON 01/100 DÓLARES DE LOS ESTADOS UNIDOS DE AMÉRICA</t>
  </si>
  <si>
    <t>102004</t>
  </si>
  <si>
    <t>Retroexcavadora</t>
  </si>
  <si>
    <t>403001</t>
  </si>
  <si>
    <t>Albañil</t>
  </si>
  <si>
    <t>423011</t>
  </si>
  <si>
    <t>Operador de retroexcavadora</t>
  </si>
  <si>
    <t>UNO  CON 61/100 DÓLARES DE LOS ESTADOS UNIDOS DE AMÉRICA</t>
  </si>
  <si>
    <t>102012</t>
  </si>
  <si>
    <t>Plancha vibratoria - compactadora</t>
  </si>
  <si>
    <t>2M9036</t>
  </si>
  <si>
    <t>Mejoramiento cribado puesto en obra</t>
  </si>
  <si>
    <t>VEINTE  Y OCHO  CON 39/100 DÓLARES DE LOS ESTADOS UNIDOS DE AMÉRICA</t>
  </si>
  <si>
    <t>2M6012</t>
  </si>
  <si>
    <t>Bloque de 40 × 20 × 15 cm</t>
  </si>
  <si>
    <t>u</t>
  </si>
  <si>
    <t>508003</t>
  </si>
  <si>
    <t>Mortero de cemento 1:3</t>
  </si>
  <si>
    <t>QUINCE  CON 99/100 DÓLARES DE LOS ESTADOS UNIDOS DE AMÉRICA</t>
  </si>
  <si>
    <t>2JF001</t>
  </si>
  <si>
    <t>Cemento Portland Tipo I</t>
  </si>
  <si>
    <t>saco 50 kg</t>
  </si>
  <si>
    <t>2M9005</t>
  </si>
  <si>
    <t>Arena puesta en obra</t>
  </si>
  <si>
    <t>2LY073</t>
  </si>
  <si>
    <t>Agua</t>
  </si>
  <si>
    <t>lt</t>
  </si>
  <si>
    <t>CIENTO VEINTE Y  CUATRO  CON 26/100 DÓLARES DE LOS ESTADOS UNIDOS DE AMÉRICA</t>
  </si>
  <si>
    <t>102008</t>
  </si>
  <si>
    <t>Volqueta 8 m3</t>
  </si>
  <si>
    <t>2LY093</t>
  </si>
  <si>
    <t>Pago por concepto de disposición de materiales en escombrera</t>
  </si>
  <si>
    <t>427011</t>
  </si>
  <si>
    <t>Chofer volquetas (Estr. Oc. C1)</t>
  </si>
  <si>
    <t>UNO  CON 01/100 DÓLARES DE LOS ESTADOS UNIDOS DE AMÉRICA</t>
  </si>
  <si>
    <t>Categoría 1: Equipos y Herramientas</t>
  </si>
  <si>
    <t>Categoría 2: Materiales</t>
  </si>
  <si>
    <t>Categoría 3: Transporte</t>
  </si>
  <si>
    <t>Categoría 4: Mano de Obra</t>
  </si>
  <si>
    <t>Categoría 5: Seguridad Industrial</t>
  </si>
  <si>
    <t>Volqueta 8m3</t>
  </si>
  <si>
    <t>Cemento Portland Tipo 1</t>
  </si>
  <si>
    <t>Bloque de 40x20x15cm</t>
  </si>
  <si>
    <t>Arena Puesta en Obra</t>
  </si>
  <si>
    <t>Maestro Mayor</t>
  </si>
  <si>
    <t>Chofer volquetas</t>
  </si>
  <si>
    <t>Costo Directo</t>
  </si>
  <si>
    <t>% Incidencia</t>
  </si>
  <si>
    <t>saco 50kg</t>
  </si>
  <si>
    <t>l</t>
  </si>
  <si>
    <t>E</t>
  </si>
  <si>
    <t>D</t>
  </si>
  <si>
    <t>X</t>
  </si>
  <si>
    <t>M</t>
  </si>
  <si>
    <t>P</t>
  </si>
  <si>
    <t>B</t>
  </si>
  <si>
    <t>Cemento Portland - Tipo I - Sacos</t>
  </si>
  <si>
    <t>Equipo y maquinaria de Construc. Vial</t>
  </si>
  <si>
    <t>Madera aserrada, cepillada y/o escuadrada (preparada)</t>
  </si>
  <si>
    <t>Materiales pétreos (Azuay)</t>
  </si>
  <si>
    <t>Indice de Precios al Consumidor Urbano - Cuenca</t>
  </si>
  <si>
    <t>Coeficiente</t>
  </si>
  <si>
    <t>Trabajo (h-H)</t>
  </si>
  <si>
    <t>ESTRUCTURA OCUPACIONAL E2</t>
  </si>
  <si>
    <t>ESTRUCTURA OCUPACIONAL D2</t>
  </si>
  <si>
    <t>ESTRUCTURA OCUPACIONAL C1</t>
  </si>
  <si>
    <t>CHOFERES - (Estr.Op C1)</t>
  </si>
  <si>
    <t>TOTALES</t>
  </si>
  <si>
    <t>PR = P0 (0,278B1/B0 + 0,057D1/D0 + 0,177E1/E0 + 0,257M1/M0 + 0,073P1/P0 + 0,158X1/X0)</t>
  </si>
  <si>
    <t>Pr = Po(p1B1/B0+p2C1/C0+p3D1/D0+p4E1/E0… pnZ1/Z0 + pxX1/X0)
• Pr = Valor reajustado del anticipo o de la planilla.
• Po = Valor del anticipo o de la planilla calculada con las cantidades de obra ejecutada a los precios unitarios contractuales descontada la parte proporcional del anticipo, de haberlo pagado.
• p1 = Coeficiente del componente mano de obra.
• p2, p3, p4… pn = Coeficiente de los demás componentes principales.
• px = Coeficiente de los otros componentes, considerados como “no principales”, cuyo valor no excederá de 0,200 lo que equivale al 20% de incidencia del costo directo.
Los coeficientes de la fórmula se expresan y aplican al milésimo y la suma de aquellos debe ser igual a la unidad.
• B0 = Sueldos y salarios mínimos de una cuadrilla tipo, más remuneraciones adicionales y obligaciones patronales; esta cuadrilla tipo estará conformada en base a los análisis de precios unitarios de la oferta adjudicada, vigentes treinta días antes de la fecha de cierre para la presentación de las ofertas.
• B1 = …; esta cuadrilla tipo estará conformada sobre la base de los análisis de precios unitarios de la oferta adjudicada, vigente a la fecha de pago del anticipo o de las planillas de ejecución de obra.
• C0, D0, E0,…Z0 = Los precios o índices de precios de los componentes principales vigentes treinta días antes de la fecha de cierre para la presentación de las ofertas, fecha que constará en el contrato.
• C1, D1, E1,…Z1 = Los precios o los índices de precios de los componentes principales a la fecha de pago del anticipo o de las planillas de ejecución de obras.
• X0 = Índice de componentes no principales correspondiente al tipo de obra y a la falta de éste, el índice de precios al consumidor treinta días antes de la fecha de cierre de la presentación de las ofertas.
• X1 = Índice de componentes no principales correspondiente al tipo de obra y a falta de éste, el índice de precios al consumidor a la fecha de pago del anticipo o de las planillas de ejecución de obras.
Bajo la normativa ecuatoriana, la conformación de los monomios o llamados también términos de la fórmula, no podrá exceder de 11 términos incluido el término X de saldos o varios el mismo que puede agrupar a recursos de diversa naturaleza, el resto de los términos deben agrupar recursos de similar naturaleza según la agrupación de los índices de precios del Instituto Nacional de Estadísticas y Censos (INEC) del Ecuador.</t>
  </si>
  <si>
    <r>
      <rPr>
        <b/>
        <sz val="11"/>
        <rFont val="Calibri"/>
        <family val="2"/>
        <scheme val="minor"/>
      </rPr>
      <t>Pr = Po(p1B1/B0+p2C1/C0+p3D1/D0+p4E1/E0… pnZ1/Z0 + pxX1/X0)</t>
    </r>
    <r>
      <rPr>
        <sz val="11"/>
        <rFont val="Calibri"/>
        <family val="2"/>
        <scheme val="minor"/>
      </rPr>
      <t xml:space="preserve">
• Pr = Valor reajustado del anticipo o de la planilla.
• Po = Valor del anticipo o de la planilla calculada con las cantidades de obra ejecutada a los precios unitarios contractuales descontada la parte proporcional del anticipo, de haberlo pagado.
• p1 = Coeficiente del componente mano de obra.
• p2, p3, p4… pn = Coeficiente de los demás componentes principales.
• px = Coeficiente de los otros componentes, considerados como “no principales”, cuyo valor no excederá de 0,200 lo que equivale al 20% de incidencia del costo directo.
Los coeficientes de la fórmula se expresan y aplican al milésimo y la suma de aquellos debe ser igual a la unidad.
• B0 = Sueldos y salarios mínimos de una cuadrilla tipo, más remuneraciones adicionales y obligaciones patronales; esta cuadrilla tipo estará conformada en base a los análisis de precios unitarios de la oferta adjudicada, vigentes treinta días antes de la fecha de cierre para la presentación de las ofertas.
• B1 = …; esta cuadrilla tipo estará conformada sobre la base de los análisis de precios unitarios de la oferta adjudicada, vigente a la fecha de pago del anticipo o de las planillas de ejecución de obra.
• C0, D0, E0,…Z0 = Los precios o índices de precios de los componentes principales vigentes treinta días antes de la fecha de cierre para la presentación de las ofertas, fecha que constará en el contrato.
• C1, D1, E1,…Z1 = Los precios o los índices de precios de los componentes principales a la fecha de pago del anticipo o de las planillas de ejecución de obras.
• X0 = Índice de componentes no principales correspondiente al tipo de obra y a la falta de éste, el índice de precios al consumidor treinta días antes de la fecha de cierre de la presentación de las ofertas.
• X1 = Índice de componentes no principales correspondiente al tipo de obra y a falta de éste, el índice de precios al consumidor a la fecha de pago del anticipo o de las planillas de ejecución de obras.
Bajo la normativa ecuatoriana, la conformación de los monomios o llamados también términos de la fórmula, no podrá exceder de 11 términos incluido el término X de saldos o varios el mismo que puede agrupar a recursos de diversa naturaleza, el resto de los términos deben agrupar recursos de similar naturaleza según la agrupación de los índices de precios del Instituto Nacional de Estadísticas y Censos (INEC) del Ecuador.</t>
    </r>
  </si>
  <si>
    <t>FÓRMULA DE LA CUADRILLA TIPO</t>
  </si>
  <si>
    <r>
      <t>B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= 0.352 (SHR ESTRUCTURA OCUPACIONAL E2)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+ 0.406 (SHR ESTRUCTURA OCUPACIONAL D2)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+ 0.101 (SHR ESTRUCTURA OCUPACIONAL C1)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+ 0.001 (SHR ESTRUCTURA OCUPACIONAL C1)</t>
    </r>
    <r>
      <rPr>
        <b/>
        <vertAlign val="subscript"/>
        <sz val="11"/>
        <rFont val="Calibri"/>
        <family val="2"/>
        <scheme val="minor"/>
      </rPr>
      <t>i</t>
    </r>
    <r>
      <rPr>
        <b/>
        <sz val="11"/>
        <rFont val="Calibri"/>
        <family val="2"/>
        <scheme val="minor"/>
      </rPr>
      <t xml:space="preserve"> + 0.140 (SHR CHOFERES - (Estr.Op C1))</t>
    </r>
    <r>
      <rPr>
        <b/>
        <vertAlign val="subscript"/>
        <sz val="11"/>
        <rFont val="Calibri"/>
        <family val="2"/>
        <scheme val="minor"/>
      </rPr>
      <t>i</t>
    </r>
  </si>
  <si>
    <t>Salario Hora Mínimo
(SHM)</t>
  </si>
  <si>
    <t>Salario Hora Real
(SHR)</t>
  </si>
  <si>
    <t>Trabajo 
(h-H)</t>
  </si>
  <si>
    <t>SHM</t>
  </si>
  <si>
    <t>SHR</t>
  </si>
  <si>
    <t>ASIGNACIÓN DE ÍNDICES Y CÁLCULO DE COEFICIENTES DE LA CUADRILLA TIPO</t>
  </si>
  <si>
    <t>ASIGNACIÓN DE ÍNDICES Y CÁLCULO DE COEFICIENTES DE LA FÓRMULA POLINÓMICA</t>
  </si>
  <si>
    <t>Subcategoría</t>
  </si>
  <si>
    <t>Símbolo Agrup.</t>
  </si>
  <si>
    <t>AGRUPACIÓN DE RECURSOS Y CÁLCULO DE PORCENTAJES DE INCIDENCIA</t>
  </si>
  <si>
    <t>Índice</t>
  </si>
  <si>
    <t>FÓRMULA POLINÓMICA</t>
  </si>
  <si>
    <t>Descripción del Recurso</t>
  </si>
  <si>
    <t>DESGLOSE DEL EQUIPO Y TRANSPORTE</t>
  </si>
  <si>
    <t>Equipos</t>
  </si>
  <si>
    <t>Repuestos</t>
  </si>
  <si>
    <t>Combustibles</t>
  </si>
  <si>
    <t>R</t>
  </si>
  <si>
    <t>C</t>
  </si>
  <si>
    <t>Varios</t>
  </si>
  <si>
    <t>Combustibles (O)</t>
  </si>
  <si>
    <t>Repuestos para maquinaria de construcción</t>
  </si>
  <si>
    <t>ESTRUCTURA OCUPACIONAL C1 (Grupo I)</t>
  </si>
  <si>
    <t>Parámetros del Mecánico de Mantenimiento</t>
  </si>
  <si>
    <t>Mecánico de Mantenimiento</t>
  </si>
  <si>
    <t>Subcategoría:</t>
  </si>
  <si>
    <t>Salario Hora Mínimo (SHM):</t>
  </si>
  <si>
    <t>Salario Hora Real (SHR):</t>
  </si>
  <si>
    <t>Cantidad (h-H):</t>
  </si>
  <si>
    <t>Cuadrilla Tipo (incluye Mecánico de Mantenimiento)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</si>
</sst>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$&quot;* #,##0.00_ ;_ &quot;$&quot;* \-#,##0.00_ ;_ &quot;$&quot;* &quot;-&quot;??_ ;_ @_ "/>
    <numFmt numFmtId="164" formatCode="#,##0.0000"/>
    <numFmt numFmtId="165" formatCode="#,##0.00000"/>
    <numFmt numFmtId="166" formatCode="0.000%"/>
    <numFmt numFmtId="167" formatCode="0.000"/>
    <numFmt numFmtId="174" formatCode="0.00000"/>
    <numFmt numFmtId="175" formatCode="0.0000"/>
    <numFmt numFmtId="176" formatCode="_ &quot;$&quot;* #,##0.000_ ;_ &quot;$&quot;* \-#,##0.000_ ;_ &quot;$&quot;* &quot;-&quot;??_ ;_ @_ "/>
  </numFmts>
  <fonts count="11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name val="Arial"/>
      <family val="2"/>
    </font>
    <font>
      <b/>
      <vertAlign val="subscript"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49" fontId="2" fillId="0" borderId="2" xfId="0" applyNumberFormat="1" applyFont="1" applyFill="1" applyBorder="1" applyAlignment="1">
      <alignment horizontal="left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4" fontId="2" fillId="0" borderId="2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4" fontId="2" fillId="0" borderId="4" xfId="0" applyNumberFormat="1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left" vertical="center"/>
    </xf>
    <xf numFmtId="4" fontId="3" fillId="0" borderId="7" xfId="0" applyNumberFormat="1" applyFont="1" applyBorder="1" applyAlignment="1">
      <alignment horizontal="right" vertical="center"/>
    </xf>
    <xf numFmtId="4" fontId="2" fillId="0" borderId="9" xfId="0" applyNumberFormat="1" applyFont="1" applyBorder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inden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4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 indent="1"/>
    </xf>
    <xf numFmtId="49" fontId="2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/>
    </xf>
    <xf numFmtId="10" fontId="2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" fontId="3" fillId="0" borderId="2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right"/>
    </xf>
    <xf numFmtId="4" fontId="3" fillId="0" borderId="13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left" indent="1"/>
    </xf>
    <xf numFmtId="164" fontId="2" fillId="0" borderId="0" xfId="0" applyNumberFormat="1" applyFont="1" applyAlignment="1">
      <alignment horizontal="right"/>
    </xf>
    <xf numFmtId="49" fontId="3" fillId="0" borderId="0" xfId="0" applyNumberFormat="1" applyFont="1" applyFill="1" applyAlignment="1">
      <alignment horizontal="left" inden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4" fontId="2" fillId="0" borderId="0" xfId="0" applyNumberFormat="1" applyFont="1" applyFill="1" applyAlignment="1">
      <alignment horizontal="right"/>
    </xf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44" fontId="7" fillId="2" borderId="2" xfId="1" applyFont="1" applyFill="1" applyBorder="1" applyAlignment="1">
      <alignment horizontal="center" vertical="center"/>
    </xf>
    <xf numFmtId="44" fontId="7" fillId="2" borderId="2" xfId="0" applyNumberFormat="1" applyFont="1" applyFill="1" applyBorder="1" applyAlignment="1">
      <alignment horizontal="center"/>
    </xf>
    <xf numFmtId="0" fontId="6" fillId="4" borderId="2" xfId="0" applyNumberFormat="1" applyFont="1" applyFill="1" applyBorder="1" applyAlignment="1">
      <alignment horizontal="center"/>
    </xf>
    <xf numFmtId="44" fontId="6" fillId="4" borderId="2" xfId="0" applyNumberFormat="1" applyFont="1" applyFill="1" applyBorder="1" applyAlignment="1">
      <alignment horizontal="center"/>
    </xf>
    <xf numFmtId="166" fontId="0" fillId="4" borderId="2" xfId="2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9" fillId="0" borderId="0" xfId="0" applyFont="1"/>
    <xf numFmtId="167" fontId="7" fillId="2" borderId="2" xfId="0" applyNumberFormat="1" applyFont="1" applyFill="1" applyBorder="1" applyAlignment="1">
      <alignment horizontal="center"/>
    </xf>
    <xf numFmtId="44" fontId="0" fillId="0" borderId="2" xfId="0" applyNumberFormat="1" applyBorder="1" applyAlignment="1">
      <alignment horizontal="center" vertical="center"/>
    </xf>
    <xf numFmtId="167" fontId="7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44" fontId="7" fillId="2" borderId="2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/>
    <xf numFmtId="0" fontId="7" fillId="2" borderId="2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justify" vertical="top"/>
    </xf>
    <xf numFmtId="49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right"/>
    </xf>
    <xf numFmtId="49" fontId="2" fillId="0" borderId="1" xfId="0" applyNumberFormat="1" applyFont="1" applyBorder="1" applyAlignment="1">
      <alignment horizontal="right"/>
    </xf>
    <xf numFmtId="49" fontId="3" fillId="0" borderId="1" xfId="0" applyNumberFormat="1" applyFont="1" applyBorder="1" applyAlignment="1">
      <alignment horizontal="right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49" fontId="3" fillId="0" borderId="1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right"/>
    </xf>
    <xf numFmtId="49" fontId="3" fillId="0" borderId="1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left" vertical="top" wrapText="1"/>
    </xf>
    <xf numFmtId="0" fontId="7" fillId="2" borderId="2" xfId="0" applyFont="1" applyFill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0" xfId="0" applyFont="1" applyAlignment="1">
      <alignment wrapText="1"/>
    </xf>
    <xf numFmtId="0" fontId="0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left"/>
    </xf>
    <xf numFmtId="44" fontId="1" fillId="0" borderId="2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/>
    <xf numFmtId="44" fontId="1" fillId="0" borderId="2" xfId="1" applyFont="1" applyFill="1" applyBorder="1" applyAlignment="1">
      <alignment horizontal="center" vertical="center"/>
    </xf>
    <xf numFmtId="44" fontId="1" fillId="0" borderId="2" xfId="0" applyNumberFormat="1" applyFont="1" applyFill="1" applyBorder="1" applyAlignment="1">
      <alignment horizontal="center" vertical="center"/>
    </xf>
    <xf numFmtId="167" fontId="1" fillId="0" borderId="2" xfId="0" applyNumberFormat="1" applyFont="1" applyFill="1" applyBorder="1" applyAlignment="1">
      <alignment horizontal="center" vertical="center"/>
    </xf>
    <xf numFmtId="0" fontId="7" fillId="0" borderId="0" xfId="0" applyFont="1" applyAlignment="1"/>
    <xf numFmtId="0" fontId="0" fillId="0" borderId="2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 vertical="center"/>
    </xf>
    <xf numFmtId="44" fontId="0" fillId="0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44" fontId="7" fillId="4" borderId="2" xfId="1" applyFont="1" applyFill="1" applyBorder="1" applyAlignment="1">
      <alignment horizontal="center" vertical="center"/>
    </xf>
    <xf numFmtId="9" fontId="7" fillId="4" borderId="2" xfId="2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167" fontId="7" fillId="2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 vertical="center"/>
    </xf>
    <xf numFmtId="44" fontId="7" fillId="3" borderId="2" xfId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44" fontId="7" fillId="3" borderId="2" xfId="1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/>
    </xf>
    <xf numFmtId="44" fontId="0" fillId="4" borderId="2" xfId="0" applyNumberFormat="1" applyFill="1" applyBorder="1"/>
    <xf numFmtId="9" fontId="0" fillId="4" borderId="2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0" fillId="4" borderId="2" xfId="0" applyNumberFormat="1" applyFill="1" applyBorder="1" applyAlignment="1">
      <alignment horizontal="center" vertical="center"/>
    </xf>
    <xf numFmtId="0" fontId="0" fillId="0" borderId="0" xfId="0" applyFill="1" applyAlignment="1"/>
    <xf numFmtId="0" fontId="8" fillId="0" borderId="1" xfId="0" applyFont="1" applyFill="1" applyBorder="1" applyAlignment="1"/>
    <xf numFmtId="166" fontId="7" fillId="3" borderId="2" xfId="2" applyNumberFormat="1" applyFont="1" applyFill="1" applyBorder="1" applyAlignment="1">
      <alignment horizontal="center" vertical="center"/>
    </xf>
    <xf numFmtId="175" fontId="1" fillId="0" borderId="2" xfId="0" applyNumberFormat="1" applyFont="1" applyFill="1" applyBorder="1" applyAlignment="1">
      <alignment horizontal="center" vertical="center"/>
    </xf>
    <xf numFmtId="175" fontId="0" fillId="4" borderId="2" xfId="0" applyNumberForma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4" fontId="7" fillId="2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7" fillId="0" borderId="2" xfId="0" applyFont="1" applyFill="1" applyBorder="1" applyAlignment="1">
      <alignment wrapText="1"/>
    </xf>
    <xf numFmtId="2" fontId="0" fillId="4" borderId="11" xfId="0" applyNumberFormat="1" applyFill="1" applyBorder="1" applyAlignment="1">
      <alignment horizontal="center" vertical="center"/>
    </xf>
    <xf numFmtId="2" fontId="0" fillId="4" borderId="12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0"/>
  <sheetViews>
    <sheetView tabSelected="1" workbookViewId="0">
      <selection activeCell="E9" sqref="E9"/>
    </sheetView>
  </sheetViews>
  <sheetFormatPr baseColWidth="10" defaultColWidth="11.42578125" defaultRowHeight="15" x14ac:dyDescent="0.25"/>
  <cols>
    <col min="1" max="1" width="7.28515625" style="1" customWidth="1"/>
    <col min="2" max="2" width="7.7109375" style="1" customWidth="1"/>
    <col min="3" max="3" width="39.140625" style="1" customWidth="1"/>
    <col min="4" max="4" width="8.5703125" style="1" customWidth="1"/>
    <col min="5" max="5" width="10.28515625" style="1" customWidth="1"/>
    <col min="6" max="6" width="9.7109375" style="1" customWidth="1"/>
    <col min="7" max="7" width="11.28515625" style="1" customWidth="1"/>
    <col min="8" max="256" width="11.42578125" style="1"/>
  </cols>
  <sheetData>
    <row r="1" spans="1:7" ht="21" customHeight="1" x14ac:dyDescent="0.25">
      <c r="A1" s="80" t="s">
        <v>0</v>
      </c>
      <c r="B1" s="80"/>
      <c r="C1" s="80"/>
      <c r="D1" s="80"/>
      <c r="E1" s="80"/>
      <c r="F1" s="80"/>
      <c r="G1" s="80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/>
      <c r="C3" s="81" t="s">
        <v>2</v>
      </c>
      <c r="D3" s="81"/>
      <c r="E3" s="81"/>
      <c r="F3" s="81"/>
      <c r="G3" s="81"/>
    </row>
    <row r="4" spans="1:7" x14ac:dyDescent="0.25">
      <c r="A4" s="3" t="s">
        <v>3</v>
      </c>
      <c r="B4" s="3"/>
      <c r="C4" s="81" t="s">
        <v>2</v>
      </c>
      <c r="D4" s="81"/>
      <c r="E4" s="81"/>
      <c r="F4" s="81"/>
      <c r="G4" s="81"/>
    </row>
    <row r="5" spans="1:7" x14ac:dyDescent="0.25">
      <c r="A5" s="3" t="s">
        <v>4</v>
      </c>
      <c r="B5" s="3"/>
      <c r="C5" s="81" t="s">
        <v>5</v>
      </c>
      <c r="D5" s="81"/>
      <c r="E5" s="81"/>
      <c r="F5" s="81"/>
      <c r="G5" s="81"/>
    </row>
    <row r="6" spans="1:7" x14ac:dyDescent="0.25">
      <c r="A6" s="3"/>
      <c r="B6" s="3"/>
      <c r="C6" s="3"/>
      <c r="D6" s="3"/>
      <c r="E6" s="3"/>
      <c r="F6" s="3"/>
      <c r="G6" s="3"/>
    </row>
    <row r="7" spans="1:7" x14ac:dyDescent="0.25">
      <c r="A7" s="83" t="s">
        <v>6</v>
      </c>
      <c r="B7" s="83"/>
      <c r="C7" s="83"/>
      <c r="D7" s="83"/>
      <c r="E7" s="83"/>
      <c r="F7" s="83"/>
      <c r="G7" s="83"/>
    </row>
    <row r="8" spans="1:7" x14ac:dyDescent="0.25">
      <c r="A8" s="4" t="s">
        <v>7</v>
      </c>
      <c r="B8" s="4" t="s">
        <v>8</v>
      </c>
      <c r="C8" s="4" t="s">
        <v>9</v>
      </c>
      <c r="D8" s="4" t="s">
        <v>10</v>
      </c>
      <c r="E8" s="5" t="s">
        <v>11</v>
      </c>
      <c r="F8" s="6" t="s">
        <v>12</v>
      </c>
      <c r="G8" s="5" t="s">
        <v>13</v>
      </c>
    </row>
    <row r="9" spans="1:7" ht="24" x14ac:dyDescent="0.25">
      <c r="A9" s="7" t="s">
        <v>14</v>
      </c>
      <c r="B9" s="8" t="s">
        <v>15</v>
      </c>
      <c r="C9" s="9" t="s">
        <v>16</v>
      </c>
      <c r="D9" s="8" t="s">
        <v>17</v>
      </c>
      <c r="E9" s="10">
        <v>1.55</v>
      </c>
      <c r="F9" s="10">
        <v>10.01</v>
      </c>
      <c r="G9" s="10">
        <v>15.52</v>
      </c>
    </row>
    <row r="10" spans="1:7" x14ac:dyDescent="0.25">
      <c r="A10" s="11" t="s">
        <v>18</v>
      </c>
      <c r="B10" s="8" t="s">
        <v>19</v>
      </c>
      <c r="C10" s="9" t="s">
        <v>20</v>
      </c>
      <c r="D10" s="8" t="s">
        <v>17</v>
      </c>
      <c r="E10" s="10">
        <v>2.5499999999999998</v>
      </c>
      <c r="F10" s="10">
        <v>1.61</v>
      </c>
      <c r="G10" s="10">
        <v>4.1100000000000003</v>
      </c>
    </row>
    <row r="11" spans="1:7" ht="24" x14ac:dyDescent="0.25">
      <c r="A11" s="11" t="s">
        <v>21</v>
      </c>
      <c r="B11" s="8" t="s">
        <v>22</v>
      </c>
      <c r="C11" s="9" t="s">
        <v>23</v>
      </c>
      <c r="D11" s="8" t="s">
        <v>17</v>
      </c>
      <c r="E11" s="10">
        <v>7.89</v>
      </c>
      <c r="F11" s="10">
        <v>28.39</v>
      </c>
      <c r="G11" s="10">
        <v>224</v>
      </c>
    </row>
    <row r="12" spans="1:7" x14ac:dyDescent="0.25">
      <c r="A12" s="11" t="s">
        <v>24</v>
      </c>
      <c r="B12" s="8" t="s">
        <v>25</v>
      </c>
      <c r="C12" s="9" t="s">
        <v>26</v>
      </c>
      <c r="D12" s="8" t="s">
        <v>27</v>
      </c>
      <c r="E12" s="10">
        <v>101.75</v>
      </c>
      <c r="F12" s="10">
        <v>15.99</v>
      </c>
      <c r="G12" s="10">
        <v>1626.98</v>
      </c>
    </row>
    <row r="13" spans="1:7" ht="24" x14ac:dyDescent="0.25">
      <c r="A13" s="11" t="s">
        <v>28</v>
      </c>
      <c r="B13" s="8" t="s">
        <v>29</v>
      </c>
      <c r="C13" s="9" t="s">
        <v>30</v>
      </c>
      <c r="D13" s="8" t="s">
        <v>17</v>
      </c>
      <c r="E13" s="10">
        <v>1003.64</v>
      </c>
      <c r="F13" s="10">
        <v>1.01</v>
      </c>
      <c r="G13" s="10">
        <v>1013.68</v>
      </c>
    </row>
    <row r="14" spans="1:7" x14ac:dyDescent="0.25">
      <c r="A14" s="84" t="s">
        <v>31</v>
      </c>
      <c r="B14" s="85"/>
      <c r="C14" s="85"/>
      <c r="D14" s="85"/>
      <c r="E14" s="85"/>
      <c r="F14" s="12"/>
      <c r="G14" s="13">
        <v>2884.29</v>
      </c>
    </row>
    <row r="15" spans="1:7" x14ac:dyDescent="0.25">
      <c r="A15" s="86" t="s">
        <v>32</v>
      </c>
      <c r="B15" s="87"/>
      <c r="C15" s="87"/>
      <c r="D15" s="87"/>
      <c r="E15" s="87"/>
      <c r="F15" s="14" t="s">
        <v>33</v>
      </c>
      <c r="G15" s="15">
        <v>346.11</v>
      </c>
    </row>
    <row r="16" spans="1:7" x14ac:dyDescent="0.25">
      <c r="A16" s="88" t="s">
        <v>34</v>
      </c>
      <c r="B16" s="89"/>
      <c r="C16" s="89"/>
      <c r="D16" s="89"/>
      <c r="E16" s="89"/>
      <c r="F16" s="16"/>
      <c r="G16" s="17">
        <v>3230.4</v>
      </c>
    </row>
    <row r="17" spans="1:7" x14ac:dyDescent="0.25">
      <c r="A17" s="18"/>
      <c r="B17" s="19"/>
      <c r="C17" s="20"/>
      <c r="D17" s="21"/>
      <c r="E17" s="22"/>
      <c r="F17" s="22"/>
      <c r="G17" s="22"/>
    </row>
    <row r="18" spans="1:7" x14ac:dyDescent="0.25">
      <c r="A18" s="18" t="s">
        <v>35</v>
      </c>
      <c r="B18" s="82" t="s">
        <v>36</v>
      </c>
      <c r="C18" s="82"/>
      <c r="D18" s="82"/>
      <c r="E18" s="82"/>
      <c r="F18" s="82"/>
      <c r="G18" s="82"/>
    </row>
    <row r="19" spans="1:7" x14ac:dyDescent="0.25">
      <c r="A19" s="18"/>
      <c r="B19" s="82"/>
      <c r="C19" s="82"/>
      <c r="D19" s="82"/>
      <c r="E19" s="82"/>
      <c r="F19" s="82"/>
      <c r="G19" s="82"/>
    </row>
    <row r="20" spans="1:7" x14ac:dyDescent="0.25">
      <c r="A20" s="18"/>
      <c r="B20" s="82"/>
      <c r="C20" s="82"/>
      <c r="D20" s="82"/>
      <c r="E20" s="82"/>
      <c r="F20" s="82"/>
      <c r="G20" s="82"/>
    </row>
  </sheetData>
  <sheetProtection formatCells="0" formatColumns="0" formatRows="0" insertColumns="0" insertRows="0" insertHyperlinks="0" deleteColumns="0" deleteRows="0" sort="0" autoFilter="0" pivotTables="0"/>
  <mergeCells count="9">
    <mergeCell ref="A1:G1"/>
    <mergeCell ref="C3:G3"/>
    <mergeCell ref="C4:G4"/>
    <mergeCell ref="C5:G5"/>
    <mergeCell ref="B18:G20"/>
    <mergeCell ref="A7:G7"/>
    <mergeCell ref="A14:E14"/>
    <mergeCell ref="A15:E15"/>
    <mergeCell ref="A16:E16"/>
  </mergeCells>
  <pageMargins left="0.54027780000000003" right="0.5" top="0.55972219999999995" bottom="1" header="0.25972220000000001" footer="0"/>
  <pageSetup paperSize="9" orientation="portrait" r:id="rId1"/>
  <headerFooter alignWithMargins="0">
    <oddHeader>&amp;R- InterPro -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37"/>
  <sheetViews>
    <sheetView workbookViewId="0">
      <selection activeCell="D26" sqref="D26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90" t="s">
        <v>37</v>
      </c>
      <c r="B1" s="90"/>
      <c r="C1" s="90"/>
      <c r="D1" s="90"/>
      <c r="E1" s="90"/>
      <c r="F1" s="90"/>
      <c r="G1" s="90"/>
      <c r="H1" s="90"/>
    </row>
    <row r="2" spans="1:8" x14ac:dyDescent="0.25">
      <c r="A2" s="23"/>
      <c r="B2" s="95"/>
      <c r="C2" s="95"/>
      <c r="D2" s="95"/>
      <c r="E2" s="23"/>
      <c r="F2" s="100"/>
      <c r="G2" s="100"/>
      <c r="H2" s="100"/>
    </row>
    <row r="3" spans="1:8" x14ac:dyDescent="0.25">
      <c r="A3" s="23" t="s">
        <v>38</v>
      </c>
      <c r="B3" s="95" t="s">
        <v>15</v>
      </c>
      <c r="C3" s="95"/>
      <c r="D3" s="95"/>
      <c r="E3" s="95"/>
      <c r="F3" s="95"/>
      <c r="G3" s="95"/>
      <c r="H3" s="95"/>
    </row>
    <row r="4" spans="1:8" x14ac:dyDescent="0.25">
      <c r="A4" s="23" t="s">
        <v>39</v>
      </c>
      <c r="B4" s="95" t="s">
        <v>16</v>
      </c>
      <c r="C4" s="95"/>
      <c r="D4" s="95"/>
      <c r="E4" s="95"/>
      <c r="F4" s="95"/>
      <c r="G4" s="95"/>
      <c r="H4" s="95"/>
    </row>
    <row r="5" spans="1:8" x14ac:dyDescent="0.25">
      <c r="A5" s="23" t="s">
        <v>40</v>
      </c>
      <c r="B5" s="95" t="s">
        <v>17</v>
      </c>
      <c r="C5" s="95"/>
      <c r="D5" s="95"/>
      <c r="E5" s="95"/>
      <c r="F5" s="95"/>
      <c r="G5" s="95"/>
      <c r="H5" s="9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96" t="s">
        <v>41</v>
      </c>
      <c r="B7" s="97"/>
      <c r="C7" s="97"/>
      <c r="D7" s="97"/>
      <c r="E7" s="97"/>
      <c r="F7" s="97"/>
      <c r="G7" s="97"/>
      <c r="H7" s="98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99" t="s">
        <v>42</v>
      </c>
      <c r="B9" s="99"/>
      <c r="C9" s="99"/>
      <c r="D9" s="99"/>
      <c r="E9" s="99"/>
      <c r="F9" s="99"/>
      <c r="G9" s="99"/>
      <c r="H9" s="99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1</v>
      </c>
      <c r="E11" s="38">
        <v>0.5</v>
      </c>
      <c r="F11" s="37">
        <v>2</v>
      </c>
      <c r="G11" s="38">
        <v>1</v>
      </c>
      <c r="H11" s="39">
        <v>0.11185679999999999</v>
      </c>
    </row>
    <row r="12" spans="1:8" x14ac:dyDescent="0.25">
      <c r="A12" s="91" t="s">
        <v>50</v>
      </c>
      <c r="B12" s="91"/>
      <c r="C12" s="91"/>
      <c r="D12" s="91"/>
      <c r="E12" s="91"/>
      <c r="F12" s="91"/>
      <c r="G12" s="38">
        <v>1</v>
      </c>
      <c r="H12" s="39">
        <v>0.11185679999999999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99" t="s">
        <v>51</v>
      </c>
      <c r="B14" s="99"/>
      <c r="C14" s="99"/>
      <c r="D14" s="99"/>
      <c r="E14" s="99"/>
      <c r="F14" s="99"/>
      <c r="G14" s="99"/>
      <c r="H14" s="99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41"/>
      <c r="B16" s="42"/>
      <c r="C16" s="36"/>
      <c r="D16" s="37"/>
      <c r="E16" s="38"/>
      <c r="F16" s="40"/>
      <c r="G16" s="43"/>
      <c r="H16" s="39"/>
    </row>
    <row r="17" spans="1:8" x14ac:dyDescent="0.25">
      <c r="A17" s="91" t="s">
        <v>52</v>
      </c>
      <c r="B17" s="91"/>
      <c r="C17" s="91"/>
      <c r="D17" s="91"/>
      <c r="E17" s="91"/>
      <c r="F17" s="91"/>
      <c r="G17" s="38">
        <v>0</v>
      </c>
      <c r="H17" s="39">
        <v>0</v>
      </c>
    </row>
    <row r="18" spans="1:8" x14ac:dyDescent="0.25">
      <c r="A18" s="28"/>
      <c r="B18" s="23"/>
      <c r="C18" s="28"/>
      <c r="D18" s="29"/>
      <c r="E18" s="30"/>
      <c r="F18" s="29"/>
      <c r="G18" s="29"/>
      <c r="H18" s="30"/>
    </row>
    <row r="19" spans="1:8" x14ac:dyDescent="0.25">
      <c r="A19" s="99" t="s">
        <v>53</v>
      </c>
      <c r="B19" s="99"/>
      <c r="C19" s="99"/>
      <c r="D19" s="99"/>
      <c r="E19" s="99"/>
      <c r="F19" s="99"/>
      <c r="G19" s="99"/>
      <c r="H19" s="99"/>
    </row>
    <row r="20" spans="1:8" x14ac:dyDescent="0.25">
      <c r="A20" s="31" t="s">
        <v>8</v>
      </c>
      <c r="B20" s="31" t="s">
        <v>9</v>
      </c>
      <c r="C20" s="31" t="s">
        <v>10</v>
      </c>
      <c r="D20" s="31" t="s">
        <v>11</v>
      </c>
      <c r="E20" s="31" t="s">
        <v>54</v>
      </c>
      <c r="F20" s="31" t="s">
        <v>55</v>
      </c>
      <c r="G20" s="31" t="s">
        <v>45</v>
      </c>
      <c r="H20" s="33" t="s">
        <v>46</v>
      </c>
    </row>
    <row r="21" spans="1:8" x14ac:dyDescent="0.25">
      <c r="A21" s="34"/>
      <c r="B21" s="42"/>
      <c r="C21" s="36"/>
      <c r="D21" s="37"/>
      <c r="E21" s="38"/>
      <c r="F21" s="43"/>
      <c r="G21" s="43"/>
      <c r="H21" s="39"/>
    </row>
    <row r="22" spans="1:8" x14ac:dyDescent="0.25">
      <c r="A22" s="91" t="s">
        <v>56</v>
      </c>
      <c r="B22" s="103"/>
      <c r="C22" s="103"/>
      <c r="D22" s="103"/>
      <c r="E22" s="103"/>
      <c r="F22" s="103"/>
      <c r="G22" s="38">
        <v>0</v>
      </c>
      <c r="H22" s="39">
        <v>0</v>
      </c>
    </row>
    <row r="23" spans="1:8" x14ac:dyDescent="0.25">
      <c r="A23" s="28"/>
      <c r="B23" s="23"/>
      <c r="C23" s="28"/>
      <c r="D23" s="29"/>
      <c r="E23" s="30"/>
      <c r="F23" s="29"/>
      <c r="G23" s="29"/>
      <c r="H23" s="30"/>
    </row>
    <row r="24" spans="1:8" x14ac:dyDescent="0.25">
      <c r="A24" s="99" t="s">
        <v>57</v>
      </c>
      <c r="B24" s="99"/>
      <c r="C24" s="99"/>
      <c r="D24" s="99"/>
      <c r="E24" s="99"/>
      <c r="F24" s="99"/>
      <c r="G24" s="99"/>
      <c r="H24" s="99"/>
    </row>
    <row r="25" spans="1:8" ht="13.5" customHeight="1" x14ac:dyDescent="0.25">
      <c r="A25" s="31" t="s">
        <v>8</v>
      </c>
      <c r="B25" s="99" t="s">
        <v>9</v>
      </c>
      <c r="C25" s="99"/>
      <c r="D25" s="31" t="s">
        <v>58</v>
      </c>
      <c r="E25" s="31" t="s">
        <v>59</v>
      </c>
      <c r="F25" s="31" t="s">
        <v>44</v>
      </c>
      <c r="G25" s="31" t="s">
        <v>45</v>
      </c>
      <c r="H25" s="33" t="s">
        <v>46</v>
      </c>
    </row>
    <row r="26" spans="1:8" ht="12.75" customHeight="1" x14ac:dyDescent="0.25">
      <c r="A26" s="34" t="s">
        <v>60</v>
      </c>
      <c r="B26" s="94" t="s">
        <v>61</v>
      </c>
      <c r="C26" s="94"/>
      <c r="D26" s="38">
        <v>1</v>
      </c>
      <c r="E26" s="38">
        <v>3.46</v>
      </c>
      <c r="F26" s="37">
        <v>2</v>
      </c>
      <c r="G26" s="38">
        <v>6.92</v>
      </c>
      <c r="H26" s="39">
        <v>0.77404919999999999</v>
      </c>
    </row>
    <row r="27" spans="1:8" x14ac:dyDescent="0.25">
      <c r="A27" s="34" t="s">
        <v>62</v>
      </c>
      <c r="B27" s="94" t="s">
        <v>63</v>
      </c>
      <c r="C27" s="94"/>
      <c r="D27" s="38">
        <v>1</v>
      </c>
      <c r="E27" s="38">
        <v>5.1100000000000003</v>
      </c>
      <c r="F27" s="37">
        <v>0.2</v>
      </c>
      <c r="G27" s="38">
        <v>1.02</v>
      </c>
      <c r="H27" s="39">
        <v>0.114094</v>
      </c>
    </row>
    <row r="28" spans="1:8" x14ac:dyDescent="0.25">
      <c r="A28" s="91" t="s">
        <v>64</v>
      </c>
      <c r="B28" s="91"/>
      <c r="C28" s="91"/>
      <c r="D28" s="91"/>
      <c r="E28" s="91"/>
      <c r="F28" s="91"/>
      <c r="G28" s="38">
        <v>7.9399999999999995</v>
      </c>
      <c r="H28" s="39">
        <v>0.88814320000000013</v>
      </c>
    </row>
    <row r="29" spans="1:8" x14ac:dyDescent="0.25">
      <c r="A29" s="28"/>
      <c r="B29" s="23"/>
      <c r="C29" s="28"/>
      <c r="D29" s="29"/>
      <c r="E29" s="30"/>
      <c r="F29" s="29"/>
      <c r="G29" s="29"/>
      <c r="H29" s="30"/>
    </row>
    <row r="30" spans="1:8" x14ac:dyDescent="0.25">
      <c r="A30" s="92" t="s">
        <v>65</v>
      </c>
      <c r="B30" s="93"/>
      <c r="C30" s="93"/>
      <c r="D30" s="93"/>
      <c r="E30" s="93"/>
      <c r="F30" s="93"/>
      <c r="G30" s="45"/>
      <c r="H30" s="22">
        <v>8.94</v>
      </c>
    </row>
    <row r="31" spans="1:8" x14ac:dyDescent="0.25">
      <c r="A31" s="44"/>
      <c r="B31" s="45"/>
      <c r="C31" s="45"/>
      <c r="D31" s="45"/>
      <c r="E31" s="45"/>
      <c r="F31" s="45"/>
      <c r="G31" s="45"/>
      <c r="H31" s="22"/>
    </row>
    <row r="32" spans="1:8" x14ac:dyDescent="0.25">
      <c r="A32" s="96" t="s">
        <v>66</v>
      </c>
      <c r="B32" s="97"/>
      <c r="C32" s="97"/>
      <c r="D32" s="97"/>
      <c r="E32" s="97"/>
      <c r="F32" s="97"/>
      <c r="G32" s="97"/>
      <c r="H32" s="98"/>
    </row>
    <row r="33" spans="1:8" x14ac:dyDescent="0.25">
      <c r="A33" s="92" t="s">
        <v>33</v>
      </c>
      <c r="B33" s="93"/>
      <c r="C33" s="93"/>
      <c r="D33" s="93"/>
      <c r="E33" s="93"/>
      <c r="F33" s="93"/>
      <c r="G33" s="45"/>
      <c r="H33" s="22">
        <v>1.07</v>
      </c>
    </row>
    <row r="34" spans="1:8" x14ac:dyDescent="0.25">
      <c r="A34" s="28"/>
      <c r="B34" s="23"/>
      <c r="C34" s="28"/>
      <c r="D34" s="29"/>
      <c r="E34" s="30"/>
      <c r="F34" s="29"/>
      <c r="G34" s="29"/>
      <c r="H34" s="30"/>
    </row>
    <row r="35" spans="1:8" x14ac:dyDescent="0.25">
      <c r="A35" s="101" t="s">
        <v>67</v>
      </c>
      <c r="B35" s="102"/>
      <c r="C35" s="102"/>
      <c r="D35" s="102"/>
      <c r="E35" s="102"/>
      <c r="F35" s="102"/>
      <c r="G35" s="46"/>
      <c r="H35" s="47">
        <v>10.01</v>
      </c>
    </row>
    <row r="36" spans="1:8" x14ac:dyDescent="0.25">
      <c r="A36" s="48"/>
      <c r="B36" s="25"/>
      <c r="C36" s="26"/>
      <c r="D36" s="49"/>
      <c r="E36" s="27"/>
      <c r="F36" s="49"/>
      <c r="G36" s="49"/>
      <c r="H36" s="27"/>
    </row>
    <row r="37" spans="1:8" x14ac:dyDescent="0.25">
      <c r="A37" s="50" t="s">
        <v>35</v>
      </c>
      <c r="B37" s="51" t="s">
        <v>68</v>
      </c>
      <c r="C37" s="52"/>
      <c r="D37" s="53"/>
      <c r="E37" s="53"/>
      <c r="F37" s="53"/>
      <c r="G37" s="53"/>
      <c r="H37" s="53"/>
    </row>
  </sheetData>
  <sheetProtection formatCells="0" formatColumns="0" formatRows="0" insertColumns="0" insertRows="0" insertHyperlinks="0" deleteColumns="0" deleteRows="0" sort="0" autoFilter="0" pivotTables="0"/>
  <mergeCells count="22">
    <mergeCell ref="A35:F35"/>
    <mergeCell ref="A19:H19"/>
    <mergeCell ref="A22:F22"/>
    <mergeCell ref="A24:H24"/>
    <mergeCell ref="A28:F28"/>
    <mergeCell ref="A30:F30"/>
    <mergeCell ref="A32:H32"/>
    <mergeCell ref="B26:C26"/>
    <mergeCell ref="B25:C25"/>
    <mergeCell ref="A1:H1"/>
    <mergeCell ref="A17:F17"/>
    <mergeCell ref="A33:F33"/>
    <mergeCell ref="B27:C27"/>
    <mergeCell ref="B2:D2"/>
    <mergeCell ref="A7:H7"/>
    <mergeCell ref="A9:H9"/>
    <mergeCell ref="A12:F12"/>
    <mergeCell ref="A14:H14"/>
    <mergeCell ref="F2:H2"/>
    <mergeCell ref="B3:H3"/>
    <mergeCell ref="B4:H4"/>
    <mergeCell ref="B5:H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39"/>
  <sheetViews>
    <sheetView topLeftCell="A4" workbookViewId="0">
      <selection activeCell="J26" sqref="J26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90" t="s">
        <v>37</v>
      </c>
      <c r="B1" s="90"/>
      <c r="C1" s="90"/>
      <c r="D1" s="90"/>
      <c r="E1" s="90"/>
      <c r="F1" s="90"/>
      <c r="G1" s="90"/>
      <c r="H1" s="90"/>
    </row>
    <row r="2" spans="1:8" x14ac:dyDescent="0.25">
      <c r="A2" s="23"/>
      <c r="B2" s="95"/>
      <c r="C2" s="95"/>
      <c r="D2" s="95"/>
      <c r="E2" s="23"/>
      <c r="F2" s="100"/>
      <c r="G2" s="100"/>
      <c r="H2" s="100"/>
    </row>
    <row r="3" spans="1:8" x14ac:dyDescent="0.25">
      <c r="A3" s="23" t="s">
        <v>38</v>
      </c>
      <c r="B3" s="95" t="s">
        <v>19</v>
      </c>
      <c r="C3" s="95"/>
      <c r="D3" s="95"/>
      <c r="E3" s="95"/>
      <c r="F3" s="95"/>
      <c r="G3" s="95"/>
      <c r="H3" s="95"/>
    </row>
    <row r="4" spans="1:8" x14ac:dyDescent="0.25">
      <c r="A4" s="23" t="s">
        <v>39</v>
      </c>
      <c r="B4" s="95" t="s">
        <v>20</v>
      </c>
      <c r="C4" s="95"/>
      <c r="D4" s="95"/>
      <c r="E4" s="95"/>
      <c r="F4" s="95"/>
      <c r="G4" s="95"/>
      <c r="H4" s="95"/>
    </row>
    <row r="5" spans="1:8" x14ac:dyDescent="0.25">
      <c r="A5" s="23" t="s">
        <v>40</v>
      </c>
      <c r="B5" s="95" t="s">
        <v>17</v>
      </c>
      <c r="C5" s="95"/>
      <c r="D5" s="95"/>
      <c r="E5" s="95"/>
      <c r="F5" s="95"/>
      <c r="G5" s="95"/>
      <c r="H5" s="9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96" t="s">
        <v>41</v>
      </c>
      <c r="B7" s="97"/>
      <c r="C7" s="97"/>
      <c r="D7" s="97"/>
      <c r="E7" s="97"/>
      <c r="F7" s="97"/>
      <c r="G7" s="97"/>
      <c r="H7" s="98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99" t="s">
        <v>42</v>
      </c>
      <c r="B9" s="99"/>
      <c r="C9" s="99"/>
      <c r="D9" s="99"/>
      <c r="E9" s="99"/>
      <c r="F9" s="99"/>
      <c r="G9" s="99"/>
      <c r="H9" s="99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69</v>
      </c>
      <c r="B11" s="35" t="s">
        <v>70</v>
      </c>
      <c r="C11" s="36" t="s">
        <v>49</v>
      </c>
      <c r="D11" s="37">
        <v>1</v>
      </c>
      <c r="E11" s="38">
        <v>20</v>
      </c>
      <c r="F11" s="37">
        <v>3.85E-2</v>
      </c>
      <c r="G11" s="38">
        <v>0.77</v>
      </c>
      <c r="H11" s="39">
        <v>0.53472220000000004</v>
      </c>
    </row>
    <row r="12" spans="1:8" x14ac:dyDescent="0.25">
      <c r="A12" s="91" t="s">
        <v>50</v>
      </c>
      <c r="B12" s="91"/>
      <c r="C12" s="91"/>
      <c r="D12" s="91"/>
      <c r="E12" s="91"/>
      <c r="F12" s="91"/>
      <c r="G12" s="38">
        <v>0.77</v>
      </c>
      <c r="H12" s="39">
        <v>0.53472220000000004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99" t="s">
        <v>51</v>
      </c>
      <c r="B14" s="99"/>
      <c r="C14" s="99"/>
      <c r="D14" s="99"/>
      <c r="E14" s="99"/>
      <c r="F14" s="99"/>
      <c r="G14" s="99"/>
      <c r="H14" s="99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41"/>
      <c r="B16" s="42"/>
      <c r="C16" s="36"/>
      <c r="D16" s="37"/>
      <c r="E16" s="38"/>
      <c r="F16" s="40"/>
      <c r="G16" s="43"/>
      <c r="H16" s="39"/>
    </row>
    <row r="17" spans="1:8" x14ac:dyDescent="0.25">
      <c r="A17" s="91" t="s">
        <v>52</v>
      </c>
      <c r="B17" s="91"/>
      <c r="C17" s="91"/>
      <c r="D17" s="91"/>
      <c r="E17" s="91"/>
      <c r="F17" s="91"/>
      <c r="G17" s="38">
        <v>0</v>
      </c>
      <c r="H17" s="39">
        <v>0</v>
      </c>
    </row>
    <row r="18" spans="1:8" x14ac:dyDescent="0.25">
      <c r="A18" s="28"/>
      <c r="B18" s="23"/>
      <c r="C18" s="28"/>
      <c r="D18" s="29"/>
      <c r="E18" s="30"/>
      <c r="F18" s="29"/>
      <c r="G18" s="29"/>
      <c r="H18" s="30"/>
    </row>
    <row r="19" spans="1:8" x14ac:dyDescent="0.25">
      <c r="A19" s="99" t="s">
        <v>53</v>
      </c>
      <c r="B19" s="99"/>
      <c r="C19" s="99"/>
      <c r="D19" s="99"/>
      <c r="E19" s="99"/>
      <c r="F19" s="99"/>
      <c r="G19" s="99"/>
      <c r="H19" s="99"/>
    </row>
    <row r="20" spans="1:8" x14ac:dyDescent="0.25">
      <c r="A20" s="31" t="s">
        <v>8</v>
      </c>
      <c r="B20" s="31" t="s">
        <v>9</v>
      </c>
      <c r="C20" s="31" t="s">
        <v>10</v>
      </c>
      <c r="D20" s="31" t="s">
        <v>11</v>
      </c>
      <c r="E20" s="31" t="s">
        <v>54</v>
      </c>
      <c r="F20" s="31" t="s">
        <v>55</v>
      </c>
      <c r="G20" s="31" t="s">
        <v>45</v>
      </c>
      <c r="H20" s="33" t="s">
        <v>46</v>
      </c>
    </row>
    <row r="21" spans="1:8" x14ac:dyDescent="0.25">
      <c r="A21" s="34"/>
      <c r="B21" s="42"/>
      <c r="C21" s="36"/>
      <c r="D21" s="37"/>
      <c r="E21" s="38"/>
      <c r="F21" s="43"/>
      <c r="G21" s="43"/>
      <c r="H21" s="39"/>
    </row>
    <row r="22" spans="1:8" x14ac:dyDescent="0.25">
      <c r="A22" s="91" t="s">
        <v>56</v>
      </c>
      <c r="B22" s="103"/>
      <c r="C22" s="103"/>
      <c r="D22" s="103"/>
      <c r="E22" s="103"/>
      <c r="F22" s="103"/>
      <c r="G22" s="38">
        <v>0</v>
      </c>
      <c r="H22" s="39">
        <v>0</v>
      </c>
    </row>
    <row r="23" spans="1:8" x14ac:dyDescent="0.25">
      <c r="A23" s="28"/>
      <c r="B23" s="23"/>
      <c r="C23" s="28"/>
      <c r="D23" s="29"/>
      <c r="E23" s="30"/>
      <c r="F23" s="29"/>
      <c r="G23" s="29"/>
      <c r="H23" s="30"/>
    </row>
    <row r="24" spans="1:8" x14ac:dyDescent="0.25">
      <c r="A24" s="99" t="s">
        <v>57</v>
      </c>
      <c r="B24" s="99"/>
      <c r="C24" s="99"/>
      <c r="D24" s="99"/>
      <c r="E24" s="99"/>
      <c r="F24" s="99"/>
      <c r="G24" s="99"/>
      <c r="H24" s="99"/>
    </row>
    <row r="25" spans="1:8" ht="13.5" customHeight="1" x14ac:dyDescent="0.25">
      <c r="A25" s="31" t="s">
        <v>8</v>
      </c>
      <c r="B25" s="99" t="s">
        <v>9</v>
      </c>
      <c r="C25" s="99"/>
      <c r="D25" s="31" t="s">
        <v>58</v>
      </c>
      <c r="E25" s="31" t="s">
        <v>59</v>
      </c>
      <c r="F25" s="31" t="s">
        <v>44</v>
      </c>
      <c r="G25" s="31" t="s">
        <v>45</v>
      </c>
      <c r="H25" s="33" t="s">
        <v>46</v>
      </c>
    </row>
    <row r="26" spans="1:8" ht="12.75" customHeight="1" x14ac:dyDescent="0.25">
      <c r="A26" s="34" t="s">
        <v>60</v>
      </c>
      <c r="B26" s="94" t="s">
        <v>61</v>
      </c>
      <c r="C26" s="94"/>
      <c r="D26" s="38">
        <v>2</v>
      </c>
      <c r="E26" s="38">
        <v>3.46</v>
      </c>
      <c r="F26" s="37">
        <v>3.85E-2</v>
      </c>
      <c r="G26" s="38">
        <v>0.27</v>
      </c>
      <c r="H26" s="39">
        <v>0.1875</v>
      </c>
    </row>
    <row r="27" spans="1:8" x14ac:dyDescent="0.25">
      <c r="A27" s="34" t="s">
        <v>71</v>
      </c>
      <c r="B27" s="94" t="s">
        <v>72</v>
      </c>
      <c r="C27" s="94"/>
      <c r="D27" s="38">
        <v>1</v>
      </c>
      <c r="E27" s="38">
        <v>4.29</v>
      </c>
      <c r="F27" s="37">
        <v>3.85E-2</v>
      </c>
      <c r="G27" s="38">
        <v>0.17</v>
      </c>
      <c r="H27" s="39">
        <v>0.1180556</v>
      </c>
    </row>
    <row r="28" spans="1:8" x14ac:dyDescent="0.25">
      <c r="A28" s="34" t="s">
        <v>73</v>
      </c>
      <c r="B28" s="94" t="s">
        <v>74</v>
      </c>
      <c r="C28" s="94"/>
      <c r="D28" s="38">
        <v>1</v>
      </c>
      <c r="E28" s="38">
        <v>3.82</v>
      </c>
      <c r="F28" s="37">
        <v>3.85E-2</v>
      </c>
      <c r="G28" s="38">
        <v>0.15</v>
      </c>
      <c r="H28" s="39">
        <v>0.1041667</v>
      </c>
    </row>
    <row r="29" spans="1:8" x14ac:dyDescent="0.25">
      <c r="A29" s="34" t="s">
        <v>62</v>
      </c>
      <c r="B29" s="94" t="s">
        <v>63</v>
      </c>
      <c r="C29" s="94"/>
      <c r="D29" s="38">
        <v>1</v>
      </c>
      <c r="E29" s="38">
        <v>5.1100000000000003</v>
      </c>
      <c r="F29" s="37">
        <v>1.54E-2</v>
      </c>
      <c r="G29" s="38">
        <v>0.08</v>
      </c>
      <c r="H29" s="39">
        <v>5.5555599999999997E-2</v>
      </c>
    </row>
    <row r="30" spans="1:8" x14ac:dyDescent="0.25">
      <c r="A30" s="91" t="s">
        <v>64</v>
      </c>
      <c r="B30" s="91"/>
      <c r="C30" s="91"/>
      <c r="D30" s="91"/>
      <c r="E30" s="91"/>
      <c r="F30" s="91"/>
      <c r="G30" s="38">
        <v>0.67</v>
      </c>
      <c r="H30" s="39">
        <v>0.46527789999999997</v>
      </c>
    </row>
    <row r="31" spans="1:8" x14ac:dyDescent="0.25">
      <c r="A31" s="28"/>
      <c r="B31" s="23"/>
      <c r="C31" s="28"/>
      <c r="D31" s="29"/>
      <c r="E31" s="30"/>
      <c r="F31" s="29"/>
      <c r="G31" s="29"/>
      <c r="H31" s="30"/>
    </row>
    <row r="32" spans="1:8" x14ac:dyDescent="0.25">
      <c r="A32" s="92" t="s">
        <v>65</v>
      </c>
      <c r="B32" s="93"/>
      <c r="C32" s="93"/>
      <c r="D32" s="93"/>
      <c r="E32" s="93"/>
      <c r="F32" s="93"/>
      <c r="G32" s="45"/>
      <c r="H32" s="22">
        <v>1.44</v>
      </c>
    </row>
    <row r="33" spans="1:8" x14ac:dyDescent="0.25">
      <c r="A33" s="44"/>
      <c r="B33" s="45"/>
      <c r="C33" s="45"/>
      <c r="D33" s="45"/>
      <c r="E33" s="45"/>
      <c r="F33" s="45"/>
      <c r="G33" s="45"/>
      <c r="H33" s="22"/>
    </row>
    <row r="34" spans="1:8" x14ac:dyDescent="0.25">
      <c r="A34" s="96" t="s">
        <v>66</v>
      </c>
      <c r="B34" s="97"/>
      <c r="C34" s="97"/>
      <c r="D34" s="97"/>
      <c r="E34" s="97"/>
      <c r="F34" s="97"/>
      <c r="G34" s="97"/>
      <c r="H34" s="98"/>
    </row>
    <row r="35" spans="1:8" x14ac:dyDescent="0.25">
      <c r="A35" s="92" t="s">
        <v>33</v>
      </c>
      <c r="B35" s="93"/>
      <c r="C35" s="93"/>
      <c r="D35" s="93"/>
      <c r="E35" s="93"/>
      <c r="F35" s="93"/>
      <c r="G35" s="45"/>
      <c r="H35" s="22">
        <v>0.17</v>
      </c>
    </row>
    <row r="36" spans="1:8" x14ac:dyDescent="0.25">
      <c r="A36" s="28"/>
      <c r="B36" s="23"/>
      <c r="C36" s="28"/>
      <c r="D36" s="29"/>
      <c r="E36" s="30"/>
      <c r="F36" s="29"/>
      <c r="G36" s="29"/>
      <c r="H36" s="30"/>
    </row>
    <row r="37" spans="1:8" x14ac:dyDescent="0.25">
      <c r="A37" s="101" t="s">
        <v>67</v>
      </c>
      <c r="B37" s="102"/>
      <c r="C37" s="102"/>
      <c r="D37" s="102"/>
      <c r="E37" s="102"/>
      <c r="F37" s="102"/>
      <c r="G37" s="46"/>
      <c r="H37" s="47">
        <v>1.6099999999999999</v>
      </c>
    </row>
    <row r="38" spans="1:8" x14ac:dyDescent="0.25">
      <c r="A38" s="48"/>
      <c r="B38" s="25"/>
      <c r="C38" s="26"/>
      <c r="D38" s="49"/>
      <c r="E38" s="27"/>
      <c r="F38" s="49"/>
      <c r="G38" s="49"/>
      <c r="H38" s="27"/>
    </row>
    <row r="39" spans="1:8" x14ac:dyDescent="0.25">
      <c r="A39" s="50" t="s">
        <v>35</v>
      </c>
      <c r="B39" s="51" t="s">
        <v>75</v>
      </c>
      <c r="C39" s="52"/>
      <c r="D39" s="53"/>
      <c r="E39" s="53"/>
      <c r="F39" s="53"/>
      <c r="G39" s="53"/>
      <c r="H39" s="53"/>
    </row>
  </sheetData>
  <sheetProtection formatCells="0" formatColumns="0" formatRows="0" insertColumns="0" insertRows="0" insertHyperlinks="0" deleteColumns="0" deleteRows="0" sort="0" autoFilter="0" pivotTables="0"/>
  <mergeCells count="24">
    <mergeCell ref="A37:F37"/>
    <mergeCell ref="A19:H19"/>
    <mergeCell ref="A22:F22"/>
    <mergeCell ref="A24:H24"/>
    <mergeCell ref="A30:F30"/>
    <mergeCell ref="A32:F32"/>
    <mergeCell ref="A34:H34"/>
    <mergeCell ref="B26:C26"/>
    <mergeCell ref="B25:C25"/>
    <mergeCell ref="A17:F17"/>
    <mergeCell ref="A35:F35"/>
    <mergeCell ref="B27:C27"/>
    <mergeCell ref="B28:C28"/>
    <mergeCell ref="B29:C29"/>
    <mergeCell ref="A14:H14"/>
    <mergeCell ref="F2:H2"/>
    <mergeCell ref="B3:H3"/>
    <mergeCell ref="B4:H4"/>
    <mergeCell ref="B5:H5"/>
    <mergeCell ref="A1:H1"/>
    <mergeCell ref="B2:D2"/>
    <mergeCell ref="A7:H7"/>
    <mergeCell ref="A9:H9"/>
    <mergeCell ref="A12:F12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39"/>
  <sheetViews>
    <sheetView workbookViewId="0">
      <selection sqref="A1:H1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90" t="s">
        <v>37</v>
      </c>
      <c r="B1" s="90"/>
      <c r="C1" s="90"/>
      <c r="D1" s="90"/>
      <c r="E1" s="90"/>
      <c r="F1" s="90"/>
      <c r="G1" s="90"/>
      <c r="H1" s="90"/>
    </row>
    <row r="2" spans="1:8" x14ac:dyDescent="0.25">
      <c r="A2" s="23"/>
      <c r="B2" s="95"/>
      <c r="C2" s="95"/>
      <c r="D2" s="95"/>
      <c r="E2" s="23"/>
      <c r="F2" s="100"/>
      <c r="G2" s="100"/>
      <c r="H2" s="100"/>
    </row>
    <row r="3" spans="1:8" x14ac:dyDescent="0.25">
      <c r="A3" s="23" t="s">
        <v>38</v>
      </c>
      <c r="B3" s="95" t="s">
        <v>22</v>
      </c>
      <c r="C3" s="95"/>
      <c r="D3" s="95"/>
      <c r="E3" s="95"/>
      <c r="F3" s="95"/>
      <c r="G3" s="95"/>
      <c r="H3" s="95"/>
    </row>
    <row r="4" spans="1:8" x14ac:dyDescent="0.25">
      <c r="A4" s="23" t="s">
        <v>39</v>
      </c>
      <c r="B4" s="95" t="s">
        <v>23</v>
      </c>
      <c r="C4" s="95"/>
      <c r="D4" s="95"/>
      <c r="E4" s="95"/>
      <c r="F4" s="95"/>
      <c r="G4" s="95"/>
      <c r="H4" s="95"/>
    </row>
    <row r="5" spans="1:8" x14ac:dyDescent="0.25">
      <c r="A5" s="23" t="s">
        <v>40</v>
      </c>
      <c r="B5" s="95" t="s">
        <v>17</v>
      </c>
      <c r="C5" s="95"/>
      <c r="D5" s="95"/>
      <c r="E5" s="95"/>
      <c r="F5" s="95"/>
      <c r="G5" s="95"/>
      <c r="H5" s="9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96" t="s">
        <v>41</v>
      </c>
      <c r="B7" s="97"/>
      <c r="C7" s="97"/>
      <c r="D7" s="97"/>
      <c r="E7" s="97"/>
      <c r="F7" s="97"/>
      <c r="G7" s="97"/>
      <c r="H7" s="98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99" t="s">
        <v>42</v>
      </c>
      <c r="B9" s="99"/>
      <c r="C9" s="99"/>
      <c r="D9" s="99"/>
      <c r="E9" s="99"/>
      <c r="F9" s="99"/>
      <c r="G9" s="99"/>
      <c r="H9" s="99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1</v>
      </c>
      <c r="E11" s="38">
        <v>0.5</v>
      </c>
      <c r="F11" s="37">
        <v>0.6</v>
      </c>
      <c r="G11" s="38">
        <v>0.3</v>
      </c>
      <c r="H11" s="39">
        <v>1.1834299999999999E-2</v>
      </c>
    </row>
    <row r="12" spans="1:8" ht="24" x14ac:dyDescent="0.25">
      <c r="A12" s="34" t="s">
        <v>76</v>
      </c>
      <c r="B12" s="35" t="s">
        <v>77</v>
      </c>
      <c r="C12" s="36" t="s">
        <v>49</v>
      </c>
      <c r="D12" s="37">
        <v>1</v>
      </c>
      <c r="E12" s="38">
        <v>3.5</v>
      </c>
      <c r="F12" s="37">
        <v>0.6</v>
      </c>
      <c r="G12" s="38">
        <v>2.1</v>
      </c>
      <c r="H12" s="39">
        <v>8.2840200000000003E-2</v>
      </c>
    </row>
    <row r="13" spans="1:8" x14ac:dyDescent="0.25">
      <c r="A13" s="91" t="s">
        <v>50</v>
      </c>
      <c r="B13" s="91"/>
      <c r="C13" s="91"/>
      <c r="D13" s="91"/>
      <c r="E13" s="91"/>
      <c r="F13" s="91"/>
      <c r="G13" s="38">
        <v>2.4</v>
      </c>
      <c r="H13" s="39">
        <v>9.4674499999999995E-2</v>
      </c>
    </row>
    <row r="14" spans="1:8" x14ac:dyDescent="0.25">
      <c r="A14" s="28"/>
      <c r="B14" s="23"/>
      <c r="C14" s="28"/>
      <c r="D14" s="29"/>
      <c r="E14" s="30"/>
      <c r="F14" s="29"/>
      <c r="G14" s="29"/>
      <c r="H14" s="30"/>
    </row>
    <row r="15" spans="1:8" x14ac:dyDescent="0.25">
      <c r="A15" s="99" t="s">
        <v>51</v>
      </c>
      <c r="B15" s="99"/>
      <c r="C15" s="99"/>
      <c r="D15" s="99"/>
      <c r="E15" s="99"/>
      <c r="F15" s="99"/>
      <c r="G15" s="99"/>
      <c r="H15" s="99"/>
    </row>
    <row r="16" spans="1:8" x14ac:dyDescent="0.25">
      <c r="A16" s="31" t="s">
        <v>8</v>
      </c>
      <c r="B16" s="31" t="s">
        <v>9</v>
      </c>
      <c r="C16" s="31" t="s">
        <v>10</v>
      </c>
      <c r="D16" s="32" t="s">
        <v>11</v>
      </c>
      <c r="E16" s="33" t="s">
        <v>43</v>
      </c>
      <c r="F16" s="40"/>
      <c r="G16" s="33" t="s">
        <v>45</v>
      </c>
      <c r="H16" s="33" t="s">
        <v>46</v>
      </c>
    </row>
    <row r="17" spans="1:8" ht="24" x14ac:dyDescent="0.25">
      <c r="A17" s="34" t="s">
        <v>78</v>
      </c>
      <c r="B17" s="42" t="s">
        <v>79</v>
      </c>
      <c r="C17" s="36" t="s">
        <v>17</v>
      </c>
      <c r="D17" s="37">
        <v>1.31</v>
      </c>
      <c r="E17" s="38">
        <v>13.5</v>
      </c>
      <c r="F17" s="40"/>
      <c r="G17" s="38">
        <v>17.690000000000001</v>
      </c>
      <c r="H17" s="39">
        <v>0.69783039999999996</v>
      </c>
    </row>
    <row r="18" spans="1:8" x14ac:dyDescent="0.25">
      <c r="A18" s="91" t="s">
        <v>52</v>
      </c>
      <c r="B18" s="91"/>
      <c r="C18" s="91"/>
      <c r="D18" s="91"/>
      <c r="E18" s="91"/>
      <c r="F18" s="91"/>
      <c r="G18" s="38">
        <v>17.690000000000001</v>
      </c>
      <c r="H18" s="39">
        <v>0.69783039999999996</v>
      </c>
    </row>
    <row r="19" spans="1:8" x14ac:dyDescent="0.25">
      <c r="A19" s="28"/>
      <c r="B19" s="23"/>
      <c r="C19" s="28"/>
      <c r="D19" s="29"/>
      <c r="E19" s="30"/>
      <c r="F19" s="29"/>
      <c r="G19" s="29"/>
      <c r="H19" s="30"/>
    </row>
    <row r="20" spans="1:8" x14ac:dyDescent="0.25">
      <c r="A20" s="99" t="s">
        <v>53</v>
      </c>
      <c r="B20" s="99"/>
      <c r="C20" s="99"/>
      <c r="D20" s="99"/>
      <c r="E20" s="99"/>
      <c r="F20" s="99"/>
      <c r="G20" s="99"/>
      <c r="H20" s="99"/>
    </row>
    <row r="21" spans="1:8" x14ac:dyDescent="0.25">
      <c r="A21" s="31" t="s">
        <v>8</v>
      </c>
      <c r="B21" s="31" t="s">
        <v>9</v>
      </c>
      <c r="C21" s="31" t="s">
        <v>10</v>
      </c>
      <c r="D21" s="31" t="s">
        <v>11</v>
      </c>
      <c r="E21" s="31" t="s">
        <v>54</v>
      </c>
      <c r="F21" s="31" t="s">
        <v>55</v>
      </c>
      <c r="G21" s="31" t="s">
        <v>45</v>
      </c>
      <c r="H21" s="33" t="s">
        <v>46</v>
      </c>
    </row>
    <row r="22" spans="1:8" x14ac:dyDescent="0.25">
      <c r="A22" s="34"/>
      <c r="B22" s="42"/>
      <c r="C22" s="36"/>
      <c r="D22" s="37"/>
      <c r="E22" s="38"/>
      <c r="F22" s="43"/>
      <c r="G22" s="43"/>
      <c r="H22" s="39"/>
    </row>
    <row r="23" spans="1:8" x14ac:dyDescent="0.25">
      <c r="A23" s="91" t="s">
        <v>56</v>
      </c>
      <c r="B23" s="103"/>
      <c r="C23" s="103"/>
      <c r="D23" s="103"/>
      <c r="E23" s="103"/>
      <c r="F23" s="103"/>
      <c r="G23" s="38">
        <v>0</v>
      </c>
      <c r="H23" s="39">
        <v>0</v>
      </c>
    </row>
    <row r="24" spans="1:8" x14ac:dyDescent="0.25">
      <c r="A24" s="28"/>
      <c r="B24" s="23"/>
      <c r="C24" s="28"/>
      <c r="D24" s="29"/>
      <c r="E24" s="30"/>
      <c r="F24" s="29"/>
      <c r="G24" s="29"/>
      <c r="H24" s="30"/>
    </row>
    <row r="25" spans="1:8" x14ac:dyDescent="0.25">
      <c r="A25" s="99" t="s">
        <v>57</v>
      </c>
      <c r="B25" s="99"/>
      <c r="C25" s="99"/>
      <c r="D25" s="99"/>
      <c r="E25" s="99"/>
      <c r="F25" s="99"/>
      <c r="G25" s="99"/>
      <c r="H25" s="99"/>
    </row>
    <row r="26" spans="1:8" ht="13.5" customHeight="1" x14ac:dyDescent="0.25">
      <c r="A26" s="31" t="s">
        <v>8</v>
      </c>
      <c r="B26" s="99" t="s">
        <v>9</v>
      </c>
      <c r="C26" s="99"/>
      <c r="D26" s="31" t="s">
        <v>58</v>
      </c>
      <c r="E26" s="31" t="s">
        <v>59</v>
      </c>
      <c r="F26" s="31" t="s">
        <v>44</v>
      </c>
      <c r="G26" s="31" t="s">
        <v>45</v>
      </c>
      <c r="H26" s="33" t="s">
        <v>46</v>
      </c>
    </row>
    <row r="27" spans="1:8" ht="12.75" customHeight="1" x14ac:dyDescent="0.25">
      <c r="A27" s="34" t="s">
        <v>60</v>
      </c>
      <c r="B27" s="94" t="s">
        <v>61</v>
      </c>
      <c r="C27" s="94"/>
      <c r="D27" s="38">
        <v>1</v>
      </c>
      <c r="E27" s="38">
        <v>3.46</v>
      </c>
      <c r="F27" s="37">
        <v>0.6</v>
      </c>
      <c r="G27" s="38">
        <v>2.08</v>
      </c>
      <c r="H27" s="39">
        <v>8.2051300000000008E-2</v>
      </c>
    </row>
    <row r="28" spans="1:8" x14ac:dyDescent="0.25">
      <c r="A28" s="34" t="s">
        <v>71</v>
      </c>
      <c r="B28" s="94" t="s">
        <v>72</v>
      </c>
      <c r="C28" s="94"/>
      <c r="D28" s="38">
        <v>1</v>
      </c>
      <c r="E28" s="38">
        <v>4.29</v>
      </c>
      <c r="F28" s="37">
        <v>0.6</v>
      </c>
      <c r="G28" s="38">
        <v>2.57</v>
      </c>
      <c r="H28" s="39">
        <v>0.1013807</v>
      </c>
    </row>
    <row r="29" spans="1:8" x14ac:dyDescent="0.25">
      <c r="A29" s="34" t="s">
        <v>62</v>
      </c>
      <c r="B29" s="94" t="s">
        <v>63</v>
      </c>
      <c r="C29" s="94"/>
      <c r="D29" s="38">
        <v>1</v>
      </c>
      <c r="E29" s="38">
        <v>5.1100000000000003</v>
      </c>
      <c r="F29" s="37">
        <v>0.12</v>
      </c>
      <c r="G29" s="38">
        <v>0.61</v>
      </c>
      <c r="H29" s="39">
        <v>2.40631E-2</v>
      </c>
    </row>
    <row r="30" spans="1:8" x14ac:dyDescent="0.25">
      <c r="A30" s="91" t="s">
        <v>64</v>
      </c>
      <c r="B30" s="91"/>
      <c r="C30" s="91"/>
      <c r="D30" s="91"/>
      <c r="E30" s="91"/>
      <c r="F30" s="91"/>
      <c r="G30" s="38">
        <v>5.2600000000000007</v>
      </c>
      <c r="H30" s="39">
        <v>0.20749510000000004</v>
      </c>
    </row>
    <row r="31" spans="1:8" x14ac:dyDescent="0.25">
      <c r="A31" s="28"/>
      <c r="B31" s="23"/>
      <c r="C31" s="28"/>
      <c r="D31" s="29"/>
      <c r="E31" s="30"/>
      <c r="F31" s="29"/>
      <c r="G31" s="29"/>
      <c r="H31" s="30"/>
    </row>
    <row r="32" spans="1:8" x14ac:dyDescent="0.25">
      <c r="A32" s="92" t="s">
        <v>65</v>
      </c>
      <c r="B32" s="93"/>
      <c r="C32" s="93"/>
      <c r="D32" s="93"/>
      <c r="E32" s="93"/>
      <c r="F32" s="93"/>
      <c r="G32" s="45"/>
      <c r="H32" s="22">
        <v>25.35</v>
      </c>
    </row>
    <row r="33" spans="1:8" x14ac:dyDescent="0.25">
      <c r="A33" s="44"/>
      <c r="B33" s="45"/>
      <c r="C33" s="45"/>
      <c r="D33" s="45"/>
      <c r="E33" s="45"/>
      <c r="F33" s="45"/>
      <c r="G33" s="45"/>
      <c r="H33" s="22"/>
    </row>
    <row r="34" spans="1:8" x14ac:dyDescent="0.25">
      <c r="A34" s="96" t="s">
        <v>66</v>
      </c>
      <c r="B34" s="97"/>
      <c r="C34" s="97"/>
      <c r="D34" s="97"/>
      <c r="E34" s="97"/>
      <c r="F34" s="97"/>
      <c r="G34" s="97"/>
      <c r="H34" s="98"/>
    </row>
    <row r="35" spans="1:8" x14ac:dyDescent="0.25">
      <c r="A35" s="92" t="s">
        <v>33</v>
      </c>
      <c r="B35" s="93"/>
      <c r="C35" s="93"/>
      <c r="D35" s="93"/>
      <c r="E35" s="93"/>
      <c r="F35" s="93"/>
      <c r="G35" s="45"/>
      <c r="H35" s="22">
        <v>3.04</v>
      </c>
    </row>
    <row r="36" spans="1:8" x14ac:dyDescent="0.25">
      <c r="A36" s="28"/>
      <c r="B36" s="23"/>
      <c r="C36" s="28"/>
      <c r="D36" s="29"/>
      <c r="E36" s="30"/>
      <c r="F36" s="29"/>
      <c r="G36" s="29"/>
      <c r="H36" s="30"/>
    </row>
    <row r="37" spans="1:8" x14ac:dyDescent="0.25">
      <c r="A37" s="101" t="s">
        <v>67</v>
      </c>
      <c r="B37" s="102"/>
      <c r="C37" s="102"/>
      <c r="D37" s="102"/>
      <c r="E37" s="102"/>
      <c r="F37" s="102"/>
      <c r="G37" s="46"/>
      <c r="H37" s="47">
        <v>28.39</v>
      </c>
    </row>
    <row r="38" spans="1:8" x14ac:dyDescent="0.25">
      <c r="A38" s="48"/>
      <c r="B38" s="25"/>
      <c r="C38" s="26"/>
      <c r="D38" s="49"/>
      <c r="E38" s="27"/>
      <c r="F38" s="49"/>
      <c r="G38" s="49"/>
      <c r="H38" s="27"/>
    </row>
    <row r="39" spans="1:8" x14ac:dyDescent="0.25">
      <c r="A39" s="50" t="s">
        <v>35</v>
      </c>
      <c r="B39" s="51" t="s">
        <v>80</v>
      </c>
      <c r="C39" s="52"/>
      <c r="D39" s="53"/>
      <c r="E39" s="53"/>
      <c r="F39" s="53"/>
      <c r="G39" s="53"/>
      <c r="H39" s="53"/>
    </row>
  </sheetData>
  <sheetProtection formatCells="0" formatColumns="0" formatRows="0" insertColumns="0" insertRows="0" insertHyperlinks="0" deleteColumns="0" deleteRows="0" sort="0" autoFilter="0" pivotTables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:H1"/>
    <mergeCell ref="A18:F18"/>
    <mergeCell ref="A35:F35"/>
    <mergeCell ref="B28:C28"/>
    <mergeCell ref="B29:C29"/>
    <mergeCell ref="B2:D2"/>
    <mergeCell ref="A7:H7"/>
    <mergeCell ref="A9:H9"/>
    <mergeCell ref="A13:F13"/>
    <mergeCell ref="A15:H15"/>
    <mergeCell ref="F2:H2"/>
    <mergeCell ref="B3:H3"/>
    <mergeCell ref="B4:H4"/>
    <mergeCell ref="B5:H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39"/>
  <sheetViews>
    <sheetView workbookViewId="0">
      <selection sqref="A1:H1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90" t="s">
        <v>37</v>
      </c>
      <c r="B1" s="90"/>
      <c r="C1" s="90"/>
      <c r="D1" s="90"/>
      <c r="E1" s="90"/>
      <c r="F1" s="90"/>
      <c r="G1" s="90"/>
      <c r="H1" s="90"/>
    </row>
    <row r="2" spans="1:8" x14ac:dyDescent="0.25">
      <c r="A2" s="23"/>
      <c r="B2" s="95"/>
      <c r="C2" s="95"/>
      <c r="D2" s="95"/>
      <c r="E2" s="23"/>
      <c r="F2" s="100"/>
      <c r="G2" s="100"/>
      <c r="H2" s="100"/>
    </row>
    <row r="3" spans="1:8" x14ac:dyDescent="0.25">
      <c r="A3" s="23" t="s">
        <v>38</v>
      </c>
      <c r="B3" s="95" t="s">
        <v>25</v>
      </c>
      <c r="C3" s="95"/>
      <c r="D3" s="95"/>
      <c r="E3" s="95"/>
      <c r="F3" s="95"/>
      <c r="G3" s="95"/>
      <c r="H3" s="95"/>
    </row>
    <row r="4" spans="1:8" x14ac:dyDescent="0.25">
      <c r="A4" s="23" t="s">
        <v>39</v>
      </c>
      <c r="B4" s="95" t="s">
        <v>26</v>
      </c>
      <c r="C4" s="95"/>
      <c r="D4" s="95"/>
      <c r="E4" s="95"/>
      <c r="F4" s="95"/>
      <c r="G4" s="95"/>
      <c r="H4" s="95"/>
    </row>
    <row r="5" spans="1:8" x14ac:dyDescent="0.25">
      <c r="A5" s="23" t="s">
        <v>40</v>
      </c>
      <c r="B5" s="95" t="s">
        <v>27</v>
      </c>
      <c r="C5" s="95"/>
      <c r="D5" s="95"/>
      <c r="E5" s="95"/>
      <c r="F5" s="95"/>
      <c r="G5" s="95"/>
      <c r="H5" s="9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96" t="s">
        <v>41</v>
      </c>
      <c r="B7" s="97"/>
      <c r="C7" s="97"/>
      <c r="D7" s="97"/>
      <c r="E7" s="97"/>
      <c r="F7" s="97"/>
      <c r="G7" s="97"/>
      <c r="H7" s="98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99" t="s">
        <v>42</v>
      </c>
      <c r="B9" s="99"/>
      <c r="C9" s="99"/>
      <c r="D9" s="99"/>
      <c r="E9" s="99"/>
      <c r="F9" s="99"/>
      <c r="G9" s="99"/>
      <c r="H9" s="99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1</v>
      </c>
      <c r="E11" s="38">
        <v>0.5</v>
      </c>
      <c r="F11" s="37">
        <v>0.6</v>
      </c>
      <c r="G11" s="38">
        <v>0.3</v>
      </c>
      <c r="H11" s="39">
        <v>2.1008399999999997E-2</v>
      </c>
    </row>
    <row r="12" spans="1:8" x14ac:dyDescent="0.25">
      <c r="A12" s="91" t="s">
        <v>50</v>
      </c>
      <c r="B12" s="91"/>
      <c r="C12" s="91"/>
      <c r="D12" s="91"/>
      <c r="E12" s="91"/>
      <c r="F12" s="91"/>
      <c r="G12" s="38">
        <v>0.3</v>
      </c>
      <c r="H12" s="39">
        <v>2.1008399999999997E-2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99" t="s">
        <v>51</v>
      </c>
      <c r="B14" s="99"/>
      <c r="C14" s="99"/>
      <c r="D14" s="99"/>
      <c r="E14" s="99"/>
      <c r="F14" s="99"/>
      <c r="G14" s="99"/>
      <c r="H14" s="99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34" t="s">
        <v>81</v>
      </c>
      <c r="B16" s="42" t="s">
        <v>82</v>
      </c>
      <c r="C16" s="36" t="s">
        <v>83</v>
      </c>
      <c r="D16" s="37">
        <v>13</v>
      </c>
      <c r="E16" s="38">
        <v>0.5</v>
      </c>
      <c r="F16" s="40"/>
      <c r="G16" s="38">
        <v>6.5</v>
      </c>
      <c r="H16" s="39">
        <v>0.45518210000000003</v>
      </c>
    </row>
    <row r="17" spans="1:8" x14ac:dyDescent="0.25">
      <c r="A17" s="41" t="s">
        <v>84</v>
      </c>
      <c r="B17" s="42" t="s">
        <v>85</v>
      </c>
      <c r="C17" s="36" t="s">
        <v>17</v>
      </c>
      <c r="D17" s="37">
        <v>0.02</v>
      </c>
      <c r="E17" s="38">
        <v>110.95</v>
      </c>
      <c r="F17" s="40"/>
      <c r="G17" s="43">
        <v>2.2200000000000002</v>
      </c>
      <c r="H17" s="39">
        <v>0.15546219999999999</v>
      </c>
    </row>
    <row r="18" spans="1:8" x14ac:dyDescent="0.25">
      <c r="A18" s="91" t="s">
        <v>52</v>
      </c>
      <c r="B18" s="91"/>
      <c r="C18" s="91"/>
      <c r="D18" s="91"/>
      <c r="E18" s="91"/>
      <c r="F18" s="91"/>
      <c r="G18" s="38">
        <v>8.7200000000000006</v>
      </c>
      <c r="H18" s="39">
        <v>0.61064430000000003</v>
      </c>
    </row>
    <row r="19" spans="1:8" x14ac:dyDescent="0.25">
      <c r="A19" s="28"/>
      <c r="B19" s="23"/>
      <c r="C19" s="28"/>
      <c r="D19" s="29"/>
      <c r="E19" s="30"/>
      <c r="F19" s="29"/>
      <c r="G19" s="29"/>
      <c r="H19" s="30"/>
    </row>
    <row r="20" spans="1:8" x14ac:dyDescent="0.25">
      <c r="A20" s="99" t="s">
        <v>53</v>
      </c>
      <c r="B20" s="99"/>
      <c r="C20" s="99"/>
      <c r="D20" s="99"/>
      <c r="E20" s="99"/>
      <c r="F20" s="99"/>
      <c r="G20" s="99"/>
      <c r="H20" s="99"/>
    </row>
    <row r="21" spans="1:8" x14ac:dyDescent="0.25">
      <c r="A21" s="31" t="s">
        <v>8</v>
      </c>
      <c r="B21" s="31" t="s">
        <v>9</v>
      </c>
      <c r="C21" s="31" t="s">
        <v>10</v>
      </c>
      <c r="D21" s="31" t="s">
        <v>11</v>
      </c>
      <c r="E21" s="31" t="s">
        <v>54</v>
      </c>
      <c r="F21" s="31" t="s">
        <v>55</v>
      </c>
      <c r="G21" s="31" t="s">
        <v>45</v>
      </c>
      <c r="H21" s="33" t="s">
        <v>46</v>
      </c>
    </row>
    <row r="22" spans="1:8" x14ac:dyDescent="0.25">
      <c r="A22" s="34"/>
      <c r="B22" s="42"/>
      <c r="C22" s="36"/>
      <c r="D22" s="37"/>
      <c r="E22" s="38"/>
      <c r="F22" s="43"/>
      <c r="G22" s="43"/>
      <c r="H22" s="39"/>
    </row>
    <row r="23" spans="1:8" x14ac:dyDescent="0.25">
      <c r="A23" s="91" t="s">
        <v>56</v>
      </c>
      <c r="B23" s="103"/>
      <c r="C23" s="103"/>
      <c r="D23" s="103"/>
      <c r="E23" s="103"/>
      <c r="F23" s="103"/>
      <c r="G23" s="38">
        <v>0</v>
      </c>
      <c r="H23" s="39">
        <v>0</v>
      </c>
    </row>
    <row r="24" spans="1:8" x14ac:dyDescent="0.25">
      <c r="A24" s="28"/>
      <c r="B24" s="23"/>
      <c r="C24" s="28"/>
      <c r="D24" s="29"/>
      <c r="E24" s="30"/>
      <c r="F24" s="29"/>
      <c r="G24" s="29"/>
      <c r="H24" s="30"/>
    </row>
    <row r="25" spans="1:8" x14ac:dyDescent="0.25">
      <c r="A25" s="99" t="s">
        <v>57</v>
      </c>
      <c r="B25" s="99"/>
      <c r="C25" s="99"/>
      <c r="D25" s="99"/>
      <c r="E25" s="99"/>
      <c r="F25" s="99"/>
      <c r="G25" s="99"/>
      <c r="H25" s="99"/>
    </row>
    <row r="26" spans="1:8" ht="13.5" customHeight="1" x14ac:dyDescent="0.25">
      <c r="A26" s="31" t="s">
        <v>8</v>
      </c>
      <c r="B26" s="99" t="s">
        <v>9</v>
      </c>
      <c r="C26" s="99"/>
      <c r="D26" s="31" t="s">
        <v>58</v>
      </c>
      <c r="E26" s="31" t="s">
        <v>59</v>
      </c>
      <c r="F26" s="31" t="s">
        <v>44</v>
      </c>
      <c r="G26" s="31" t="s">
        <v>45</v>
      </c>
      <c r="H26" s="33" t="s">
        <v>46</v>
      </c>
    </row>
    <row r="27" spans="1:8" ht="12.75" customHeight="1" x14ac:dyDescent="0.25">
      <c r="A27" s="34" t="s">
        <v>60</v>
      </c>
      <c r="B27" s="94" t="s">
        <v>61</v>
      </c>
      <c r="C27" s="94"/>
      <c r="D27" s="38">
        <v>1</v>
      </c>
      <c r="E27" s="38">
        <v>3.46</v>
      </c>
      <c r="F27" s="37">
        <v>0.6</v>
      </c>
      <c r="G27" s="38">
        <v>2.08</v>
      </c>
      <c r="H27" s="39">
        <v>0.14565829999999999</v>
      </c>
    </row>
    <row r="28" spans="1:8" x14ac:dyDescent="0.25">
      <c r="A28" s="34" t="s">
        <v>71</v>
      </c>
      <c r="B28" s="94" t="s">
        <v>72</v>
      </c>
      <c r="C28" s="94"/>
      <c r="D28" s="38">
        <v>1</v>
      </c>
      <c r="E28" s="38">
        <v>4.29</v>
      </c>
      <c r="F28" s="37">
        <v>0.6</v>
      </c>
      <c r="G28" s="38">
        <v>2.57</v>
      </c>
      <c r="H28" s="39">
        <v>0.17997199999999999</v>
      </c>
    </row>
    <row r="29" spans="1:8" x14ac:dyDescent="0.25">
      <c r="A29" s="34" t="s">
        <v>62</v>
      </c>
      <c r="B29" s="94" t="s">
        <v>63</v>
      </c>
      <c r="C29" s="94"/>
      <c r="D29" s="38">
        <v>1</v>
      </c>
      <c r="E29" s="38">
        <v>5.1100000000000003</v>
      </c>
      <c r="F29" s="37">
        <v>0.12</v>
      </c>
      <c r="G29" s="38">
        <v>0.61</v>
      </c>
      <c r="H29" s="39">
        <v>4.2717099999999994E-2</v>
      </c>
    </row>
    <row r="30" spans="1:8" x14ac:dyDescent="0.25">
      <c r="A30" s="91" t="s">
        <v>64</v>
      </c>
      <c r="B30" s="91"/>
      <c r="C30" s="91"/>
      <c r="D30" s="91"/>
      <c r="E30" s="91"/>
      <c r="F30" s="91"/>
      <c r="G30" s="38">
        <v>5.2600000000000007</v>
      </c>
      <c r="H30" s="39">
        <v>0.36834739999999999</v>
      </c>
    </row>
    <row r="31" spans="1:8" x14ac:dyDescent="0.25">
      <c r="A31" s="28"/>
      <c r="B31" s="23"/>
      <c r="C31" s="28"/>
      <c r="D31" s="29"/>
      <c r="E31" s="30"/>
      <c r="F31" s="29"/>
      <c r="G31" s="29"/>
      <c r="H31" s="30"/>
    </row>
    <row r="32" spans="1:8" x14ac:dyDescent="0.25">
      <c r="A32" s="92" t="s">
        <v>65</v>
      </c>
      <c r="B32" s="93"/>
      <c r="C32" s="93"/>
      <c r="D32" s="93"/>
      <c r="E32" s="93"/>
      <c r="F32" s="93"/>
      <c r="G32" s="45"/>
      <c r="H32" s="22">
        <v>14.28</v>
      </c>
    </row>
    <row r="33" spans="1:8" x14ac:dyDescent="0.25">
      <c r="A33" s="44"/>
      <c r="B33" s="45"/>
      <c r="C33" s="45"/>
      <c r="D33" s="45"/>
      <c r="E33" s="45"/>
      <c r="F33" s="45"/>
      <c r="G33" s="45"/>
      <c r="H33" s="22"/>
    </row>
    <row r="34" spans="1:8" x14ac:dyDescent="0.25">
      <c r="A34" s="96" t="s">
        <v>66</v>
      </c>
      <c r="B34" s="97"/>
      <c r="C34" s="97"/>
      <c r="D34" s="97"/>
      <c r="E34" s="97"/>
      <c r="F34" s="97"/>
      <c r="G34" s="97"/>
      <c r="H34" s="98"/>
    </row>
    <row r="35" spans="1:8" x14ac:dyDescent="0.25">
      <c r="A35" s="92" t="s">
        <v>33</v>
      </c>
      <c r="B35" s="93"/>
      <c r="C35" s="93"/>
      <c r="D35" s="93"/>
      <c r="E35" s="93"/>
      <c r="F35" s="93"/>
      <c r="G35" s="45"/>
      <c r="H35" s="22">
        <v>1.71</v>
      </c>
    </row>
    <row r="36" spans="1:8" x14ac:dyDescent="0.25">
      <c r="A36" s="28"/>
      <c r="B36" s="23"/>
      <c r="C36" s="28"/>
      <c r="D36" s="29"/>
      <c r="E36" s="30"/>
      <c r="F36" s="29"/>
      <c r="G36" s="29"/>
      <c r="H36" s="30"/>
    </row>
    <row r="37" spans="1:8" x14ac:dyDescent="0.25">
      <c r="A37" s="101" t="s">
        <v>67</v>
      </c>
      <c r="B37" s="102"/>
      <c r="C37" s="102"/>
      <c r="D37" s="102"/>
      <c r="E37" s="102"/>
      <c r="F37" s="102"/>
      <c r="G37" s="46"/>
      <c r="H37" s="47">
        <v>15.989999999999998</v>
      </c>
    </row>
    <row r="38" spans="1:8" x14ac:dyDescent="0.25">
      <c r="A38" s="48"/>
      <c r="B38" s="25"/>
      <c r="C38" s="26"/>
      <c r="D38" s="49"/>
      <c r="E38" s="27"/>
      <c r="F38" s="49"/>
      <c r="G38" s="49"/>
      <c r="H38" s="27"/>
    </row>
    <row r="39" spans="1:8" x14ac:dyDescent="0.25">
      <c r="A39" s="50" t="s">
        <v>35</v>
      </c>
      <c r="B39" s="51" t="s">
        <v>86</v>
      </c>
      <c r="C39" s="52"/>
      <c r="D39" s="53"/>
      <c r="E39" s="53"/>
      <c r="F39" s="53"/>
      <c r="G39" s="53"/>
      <c r="H39" s="53"/>
    </row>
  </sheetData>
  <sheetProtection formatCells="0" formatColumns="0" formatRows="0" insertColumns="0" insertRows="0" insertHyperlinks="0" deleteColumns="0" deleteRows="0" sort="0" autoFilter="0" pivotTables="0"/>
  <mergeCells count="23">
    <mergeCell ref="A37:F37"/>
    <mergeCell ref="A20:H20"/>
    <mergeCell ref="A23:F23"/>
    <mergeCell ref="A25:H25"/>
    <mergeCell ref="A30:F30"/>
    <mergeCell ref="A32:F32"/>
    <mergeCell ref="A34:H34"/>
    <mergeCell ref="B27:C27"/>
    <mergeCell ref="B26:C26"/>
    <mergeCell ref="A1:H1"/>
    <mergeCell ref="A18:F18"/>
    <mergeCell ref="A35:F35"/>
    <mergeCell ref="B28:C28"/>
    <mergeCell ref="B29:C29"/>
    <mergeCell ref="B2:D2"/>
    <mergeCell ref="A7:H7"/>
    <mergeCell ref="A9:H9"/>
    <mergeCell ref="A12:F12"/>
    <mergeCell ref="A14:H14"/>
    <mergeCell ref="F2:H2"/>
    <mergeCell ref="B3:H3"/>
    <mergeCell ref="B4:H4"/>
    <mergeCell ref="B5:H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40"/>
  <sheetViews>
    <sheetView workbookViewId="0">
      <selection activeCell="E20" sqref="E20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90" t="s">
        <v>37</v>
      </c>
      <c r="B1" s="90"/>
      <c r="C1" s="90"/>
      <c r="D1" s="90"/>
      <c r="E1" s="90"/>
      <c r="F1" s="90"/>
      <c r="G1" s="90"/>
      <c r="H1" s="90"/>
    </row>
    <row r="2" spans="1:8" x14ac:dyDescent="0.25">
      <c r="A2" s="23"/>
      <c r="B2" s="95"/>
      <c r="C2" s="95"/>
      <c r="D2" s="95"/>
      <c r="E2" s="23"/>
      <c r="F2" s="100"/>
      <c r="G2" s="100"/>
      <c r="H2" s="100"/>
    </row>
    <row r="3" spans="1:8" x14ac:dyDescent="0.25">
      <c r="A3" s="23" t="s">
        <v>38</v>
      </c>
      <c r="B3" s="95" t="s">
        <v>84</v>
      </c>
      <c r="C3" s="95"/>
      <c r="D3" s="95"/>
      <c r="E3" s="95"/>
      <c r="F3" s="95"/>
      <c r="G3" s="95"/>
      <c r="H3" s="95"/>
    </row>
    <row r="4" spans="1:8" x14ac:dyDescent="0.25">
      <c r="A4" s="23" t="s">
        <v>39</v>
      </c>
      <c r="B4" s="95" t="s">
        <v>85</v>
      </c>
      <c r="C4" s="95"/>
      <c r="D4" s="95"/>
      <c r="E4" s="95"/>
      <c r="F4" s="95"/>
      <c r="G4" s="95"/>
      <c r="H4" s="95"/>
    </row>
    <row r="5" spans="1:8" x14ac:dyDescent="0.25">
      <c r="A5" s="23" t="s">
        <v>40</v>
      </c>
      <c r="B5" s="95" t="s">
        <v>17</v>
      </c>
      <c r="C5" s="95"/>
      <c r="D5" s="95"/>
      <c r="E5" s="95"/>
      <c r="F5" s="95"/>
      <c r="G5" s="95"/>
      <c r="H5" s="9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96" t="s">
        <v>41</v>
      </c>
      <c r="B7" s="97"/>
      <c r="C7" s="97"/>
      <c r="D7" s="97"/>
      <c r="E7" s="97"/>
      <c r="F7" s="97"/>
      <c r="G7" s="97"/>
      <c r="H7" s="98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99" t="s">
        <v>42</v>
      </c>
      <c r="B9" s="99"/>
      <c r="C9" s="99"/>
      <c r="D9" s="99"/>
      <c r="E9" s="99"/>
      <c r="F9" s="99"/>
      <c r="G9" s="99"/>
      <c r="H9" s="99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47</v>
      </c>
      <c r="B11" s="35" t="s">
        <v>48</v>
      </c>
      <c r="C11" s="36" t="s">
        <v>49</v>
      </c>
      <c r="D11" s="37">
        <v>2</v>
      </c>
      <c r="E11" s="38">
        <v>0.5</v>
      </c>
      <c r="F11" s="37">
        <v>0.9</v>
      </c>
      <c r="G11" s="38">
        <v>0.9</v>
      </c>
      <c r="H11" s="39">
        <v>8.1118000000000006E-3</v>
      </c>
    </row>
    <row r="12" spans="1:8" x14ac:dyDescent="0.25">
      <c r="A12" s="91" t="s">
        <v>50</v>
      </c>
      <c r="B12" s="91"/>
      <c r="C12" s="91"/>
      <c r="D12" s="91"/>
      <c r="E12" s="91"/>
      <c r="F12" s="91"/>
      <c r="G12" s="38">
        <v>0.9</v>
      </c>
      <c r="H12" s="39">
        <v>8.1118000000000006E-3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99" t="s">
        <v>51</v>
      </c>
      <c r="B14" s="99"/>
      <c r="C14" s="99"/>
      <c r="D14" s="99"/>
      <c r="E14" s="99"/>
      <c r="F14" s="99"/>
      <c r="G14" s="99"/>
      <c r="H14" s="99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x14ac:dyDescent="0.25">
      <c r="A16" s="34" t="s">
        <v>87</v>
      </c>
      <c r="B16" s="42" t="s">
        <v>88</v>
      </c>
      <c r="C16" s="36" t="s">
        <v>89</v>
      </c>
      <c r="D16" s="37">
        <v>10</v>
      </c>
      <c r="E16" s="38">
        <v>7.25</v>
      </c>
      <c r="F16" s="40"/>
      <c r="G16" s="38">
        <v>72.5</v>
      </c>
      <c r="H16" s="39">
        <v>0.65344750000000007</v>
      </c>
    </row>
    <row r="17" spans="1:13" x14ac:dyDescent="0.25">
      <c r="A17" s="41" t="s">
        <v>90</v>
      </c>
      <c r="B17" s="42" t="s">
        <v>91</v>
      </c>
      <c r="C17" s="36" t="s">
        <v>17</v>
      </c>
      <c r="D17" s="37">
        <v>1.1499999999999999</v>
      </c>
      <c r="E17" s="38">
        <v>20.5</v>
      </c>
      <c r="F17" s="40"/>
      <c r="G17" s="43">
        <v>23.58</v>
      </c>
      <c r="H17" s="39">
        <v>0.2125282</v>
      </c>
    </row>
    <row r="18" spans="1:13" x14ac:dyDescent="0.25">
      <c r="A18" s="41" t="s">
        <v>92</v>
      </c>
      <c r="B18" s="42" t="s">
        <v>93</v>
      </c>
      <c r="C18" s="36" t="s">
        <v>94</v>
      </c>
      <c r="D18" s="37">
        <v>250</v>
      </c>
      <c r="E18" s="38">
        <v>0.01</v>
      </c>
      <c r="F18" s="40"/>
      <c r="G18" s="43">
        <v>2.5</v>
      </c>
      <c r="H18" s="39">
        <v>2.2532700000000003E-2</v>
      </c>
    </row>
    <row r="19" spans="1:13" x14ac:dyDescent="0.25">
      <c r="A19" s="91" t="s">
        <v>52</v>
      </c>
      <c r="B19" s="91"/>
      <c r="C19" s="91"/>
      <c r="D19" s="91"/>
      <c r="E19" s="91"/>
      <c r="F19" s="91"/>
      <c r="G19" s="38">
        <v>98.58</v>
      </c>
      <c r="H19" s="39">
        <v>0.88850840000000009</v>
      </c>
    </row>
    <row r="20" spans="1:13" x14ac:dyDescent="0.25">
      <c r="A20" s="28"/>
      <c r="B20" s="23"/>
      <c r="C20" s="28"/>
      <c r="D20" s="29"/>
      <c r="E20" s="30"/>
      <c r="F20" s="29"/>
      <c r="G20" s="29"/>
      <c r="H20" s="30"/>
    </row>
    <row r="21" spans="1:13" x14ac:dyDescent="0.25">
      <c r="A21" s="99" t="s">
        <v>53</v>
      </c>
      <c r="B21" s="99"/>
      <c r="C21" s="99"/>
      <c r="D21" s="99"/>
      <c r="E21" s="99"/>
      <c r="F21" s="99"/>
      <c r="G21" s="99"/>
      <c r="H21" s="99"/>
    </row>
    <row r="22" spans="1:13" x14ac:dyDescent="0.25">
      <c r="A22" s="31" t="s">
        <v>8</v>
      </c>
      <c r="B22" s="31" t="s">
        <v>9</v>
      </c>
      <c r="C22" s="31" t="s">
        <v>10</v>
      </c>
      <c r="D22" s="31" t="s">
        <v>11</v>
      </c>
      <c r="E22" s="31" t="s">
        <v>54</v>
      </c>
      <c r="F22" s="31" t="s">
        <v>55</v>
      </c>
      <c r="G22" s="31" t="s">
        <v>45</v>
      </c>
      <c r="H22" s="33" t="s">
        <v>46</v>
      </c>
    </row>
    <row r="23" spans="1:13" x14ac:dyDescent="0.25">
      <c r="A23" s="34"/>
      <c r="B23" s="42"/>
      <c r="C23" s="36"/>
      <c r="D23" s="37"/>
      <c r="E23" s="38"/>
      <c r="F23" s="43"/>
      <c r="G23" s="43"/>
      <c r="H23" s="39"/>
    </row>
    <row r="24" spans="1:13" x14ac:dyDescent="0.25">
      <c r="A24" s="91" t="s">
        <v>56</v>
      </c>
      <c r="B24" s="103"/>
      <c r="C24" s="103"/>
      <c r="D24" s="103"/>
      <c r="E24" s="103"/>
      <c r="F24" s="103"/>
      <c r="G24" s="38">
        <v>0</v>
      </c>
      <c r="H24" s="39">
        <v>0</v>
      </c>
    </row>
    <row r="25" spans="1:13" x14ac:dyDescent="0.25">
      <c r="A25" s="28"/>
      <c r="B25" s="23"/>
      <c r="C25" s="28"/>
      <c r="D25" s="29"/>
      <c r="E25" s="30"/>
      <c r="F25" s="29"/>
      <c r="G25" s="29"/>
      <c r="H25" s="30"/>
      <c r="M25" s="1">
        <f>1.55*2</f>
        <v>3.1</v>
      </c>
    </row>
    <row r="26" spans="1:13" x14ac:dyDescent="0.25">
      <c r="A26" s="99" t="s">
        <v>57</v>
      </c>
      <c r="B26" s="99"/>
      <c r="C26" s="99"/>
      <c r="D26" s="99"/>
      <c r="E26" s="99"/>
      <c r="F26" s="99"/>
      <c r="G26" s="99"/>
      <c r="H26" s="99"/>
      <c r="M26" s="1">
        <f>2.55*0.077</f>
        <v>0.19635</v>
      </c>
    </row>
    <row r="27" spans="1:13" ht="13.5" customHeight="1" x14ac:dyDescent="0.25">
      <c r="A27" s="31" t="s">
        <v>8</v>
      </c>
      <c r="B27" s="99" t="s">
        <v>9</v>
      </c>
      <c r="C27" s="99"/>
      <c r="D27" s="31" t="s">
        <v>58</v>
      </c>
      <c r="E27" s="31" t="s">
        <v>59</v>
      </c>
      <c r="F27" s="31" t="s">
        <v>44</v>
      </c>
      <c r="G27" s="31" t="s">
        <v>45</v>
      </c>
      <c r="H27" s="33" t="s">
        <v>46</v>
      </c>
      <c r="M27" s="1">
        <f>7.89*0.6</f>
        <v>4.734</v>
      </c>
    </row>
    <row r="28" spans="1:13" ht="12.75" customHeight="1" x14ac:dyDescent="0.25">
      <c r="A28" s="34" t="s">
        <v>60</v>
      </c>
      <c r="B28" s="94" t="s">
        <v>61</v>
      </c>
      <c r="C28" s="94"/>
      <c r="D28" s="38">
        <v>2</v>
      </c>
      <c r="E28" s="38">
        <v>3.46</v>
      </c>
      <c r="F28" s="37">
        <v>0.9</v>
      </c>
      <c r="G28" s="38">
        <v>6.23</v>
      </c>
      <c r="H28" s="39">
        <v>5.6151400000000004E-2</v>
      </c>
      <c r="K28" s="1">
        <f>0.02*2*0.9*101.75</f>
        <v>3.6630000000000003</v>
      </c>
      <c r="M28" s="1">
        <f>0.6358*101.75</f>
        <v>64.69265</v>
      </c>
    </row>
    <row r="29" spans="1:13" x14ac:dyDescent="0.25">
      <c r="A29" s="34" t="s">
        <v>71</v>
      </c>
      <c r="B29" s="94" t="s">
        <v>72</v>
      </c>
      <c r="C29" s="94"/>
      <c r="D29" s="38">
        <v>1</v>
      </c>
      <c r="E29" s="38">
        <v>4.29</v>
      </c>
      <c r="F29" s="37">
        <v>0.9</v>
      </c>
      <c r="G29" s="38">
        <v>3.86</v>
      </c>
      <c r="H29" s="39">
        <v>3.4790399999999999E-2</v>
      </c>
      <c r="K29" s="72">
        <f>0.6*1*101.75</f>
        <v>61.05</v>
      </c>
    </row>
    <row r="30" spans="1:13" x14ac:dyDescent="0.25">
      <c r="A30" s="34" t="s">
        <v>62</v>
      </c>
      <c r="B30" s="94" t="s">
        <v>63</v>
      </c>
      <c r="C30" s="94"/>
      <c r="D30" s="38">
        <v>1</v>
      </c>
      <c r="E30" s="38">
        <v>5.1100000000000003</v>
      </c>
      <c r="F30" s="37">
        <v>0.27</v>
      </c>
      <c r="G30" s="38">
        <v>1.38</v>
      </c>
      <c r="H30" s="39">
        <v>1.2437999999999999E-2</v>
      </c>
      <c r="K30" s="1">
        <f>SUM(K28:K29)</f>
        <v>64.712999999999994</v>
      </c>
    </row>
    <row r="31" spans="1:13" x14ac:dyDescent="0.25">
      <c r="A31" s="91" t="s">
        <v>64</v>
      </c>
      <c r="B31" s="91"/>
      <c r="C31" s="91"/>
      <c r="D31" s="91"/>
      <c r="E31" s="91"/>
      <c r="F31" s="91"/>
      <c r="G31" s="38">
        <v>11.469999999999999</v>
      </c>
      <c r="H31" s="39">
        <v>0.10337979999999999</v>
      </c>
    </row>
    <row r="32" spans="1:13" x14ac:dyDescent="0.25">
      <c r="A32" s="28"/>
      <c r="B32" s="23"/>
      <c r="C32" s="28"/>
      <c r="D32" s="29"/>
      <c r="E32" s="30"/>
      <c r="F32" s="29"/>
      <c r="G32" s="29"/>
      <c r="H32" s="30"/>
    </row>
    <row r="33" spans="1:8" x14ac:dyDescent="0.25">
      <c r="A33" s="92" t="s">
        <v>65</v>
      </c>
      <c r="B33" s="93"/>
      <c r="C33" s="93"/>
      <c r="D33" s="93"/>
      <c r="E33" s="93"/>
      <c r="F33" s="93"/>
      <c r="G33" s="45"/>
      <c r="H33" s="22">
        <v>110.95</v>
      </c>
    </row>
    <row r="34" spans="1:8" x14ac:dyDescent="0.25">
      <c r="A34" s="44"/>
      <c r="B34" s="45"/>
      <c r="C34" s="45"/>
      <c r="D34" s="45"/>
      <c r="E34" s="45"/>
      <c r="F34" s="45"/>
      <c r="G34" s="45"/>
      <c r="H34" s="22"/>
    </row>
    <row r="35" spans="1:8" x14ac:dyDescent="0.25">
      <c r="A35" s="96" t="s">
        <v>66</v>
      </c>
      <c r="B35" s="97"/>
      <c r="C35" s="97"/>
      <c r="D35" s="97"/>
      <c r="E35" s="97"/>
      <c r="F35" s="97"/>
      <c r="G35" s="97"/>
      <c r="H35" s="98"/>
    </row>
    <row r="36" spans="1:8" x14ac:dyDescent="0.25">
      <c r="A36" s="92" t="s">
        <v>33</v>
      </c>
      <c r="B36" s="93"/>
      <c r="C36" s="93"/>
      <c r="D36" s="93"/>
      <c r="E36" s="93"/>
      <c r="F36" s="93"/>
      <c r="G36" s="45"/>
      <c r="H36" s="22">
        <v>13.31</v>
      </c>
    </row>
    <row r="37" spans="1:8" x14ac:dyDescent="0.25">
      <c r="A37" s="28"/>
      <c r="B37" s="23"/>
      <c r="C37" s="28"/>
      <c r="D37" s="29"/>
      <c r="E37" s="30"/>
      <c r="F37" s="29"/>
      <c r="G37" s="29"/>
      <c r="H37" s="30"/>
    </row>
    <row r="38" spans="1:8" x14ac:dyDescent="0.25">
      <c r="A38" s="101" t="s">
        <v>67</v>
      </c>
      <c r="B38" s="102"/>
      <c r="C38" s="102"/>
      <c r="D38" s="102"/>
      <c r="E38" s="102"/>
      <c r="F38" s="102"/>
      <c r="G38" s="46"/>
      <c r="H38" s="47">
        <v>124.26</v>
      </c>
    </row>
    <row r="39" spans="1:8" x14ac:dyDescent="0.25">
      <c r="A39" s="48"/>
      <c r="B39" s="25"/>
      <c r="C39" s="26"/>
      <c r="D39" s="49"/>
      <c r="E39" s="27"/>
      <c r="F39" s="49"/>
      <c r="G39" s="49"/>
      <c r="H39" s="27"/>
    </row>
    <row r="40" spans="1:8" x14ac:dyDescent="0.25">
      <c r="A40" s="50" t="s">
        <v>35</v>
      </c>
      <c r="B40" s="51" t="s">
        <v>95</v>
      </c>
      <c r="C40" s="52"/>
      <c r="D40" s="53"/>
      <c r="E40" s="53"/>
      <c r="F40" s="53"/>
      <c r="G40" s="53"/>
      <c r="H40" s="53"/>
    </row>
  </sheetData>
  <sheetProtection formatCells="0" formatColumns="0" formatRows="0" insertColumns="0" insertRows="0" insertHyperlinks="0" deleteColumns="0" deleteRows="0" sort="0" autoFilter="0" pivotTables="0"/>
  <mergeCells count="23">
    <mergeCell ref="A38:F38"/>
    <mergeCell ref="A21:H21"/>
    <mergeCell ref="A24:F24"/>
    <mergeCell ref="A26:H26"/>
    <mergeCell ref="A31:F31"/>
    <mergeCell ref="A33:F33"/>
    <mergeCell ref="A35:H35"/>
    <mergeCell ref="B28:C28"/>
    <mergeCell ref="B27:C27"/>
    <mergeCell ref="A1:H1"/>
    <mergeCell ref="A19:F19"/>
    <mergeCell ref="A36:F36"/>
    <mergeCell ref="B29:C29"/>
    <mergeCell ref="B30:C30"/>
    <mergeCell ref="B2:D2"/>
    <mergeCell ref="A7:H7"/>
    <mergeCell ref="A9:H9"/>
    <mergeCell ref="A12:F12"/>
    <mergeCell ref="A14:H14"/>
    <mergeCell ref="F2:H2"/>
    <mergeCell ref="B3:H3"/>
    <mergeCell ref="B4:H4"/>
    <mergeCell ref="B5:H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36"/>
  <sheetViews>
    <sheetView workbookViewId="0">
      <selection sqref="A1:H1"/>
    </sheetView>
  </sheetViews>
  <sheetFormatPr baseColWidth="10" defaultColWidth="11.42578125" defaultRowHeight="15" x14ac:dyDescent="0.25"/>
  <cols>
    <col min="1" max="1" width="11.140625" style="1" bestFit="1" customWidth="1"/>
    <col min="2" max="2" width="22.5703125" style="1" customWidth="1"/>
    <col min="3" max="4" width="11.42578125" style="1"/>
    <col min="5" max="5" width="8.85546875" style="1" customWidth="1"/>
    <col min="6" max="6" width="10.42578125" style="1" customWidth="1"/>
    <col min="7" max="7" width="9.7109375" style="1" customWidth="1"/>
    <col min="8" max="8" width="8.85546875" style="1" customWidth="1"/>
    <col min="9" max="256" width="11.42578125" style="1"/>
  </cols>
  <sheetData>
    <row r="1" spans="1:8" x14ac:dyDescent="0.25">
      <c r="A1" s="90" t="s">
        <v>37</v>
      </c>
      <c r="B1" s="90"/>
      <c r="C1" s="90"/>
      <c r="D1" s="90"/>
      <c r="E1" s="90"/>
      <c r="F1" s="90"/>
      <c r="G1" s="90"/>
      <c r="H1" s="90"/>
    </row>
    <row r="2" spans="1:8" x14ac:dyDescent="0.25">
      <c r="A2" s="23"/>
      <c r="B2" s="95"/>
      <c r="C2" s="95"/>
      <c r="D2" s="95"/>
      <c r="E2" s="23"/>
      <c r="F2" s="100"/>
      <c r="G2" s="100"/>
      <c r="H2" s="100"/>
    </row>
    <row r="3" spans="1:8" x14ac:dyDescent="0.25">
      <c r="A3" s="23" t="s">
        <v>38</v>
      </c>
      <c r="B3" s="95" t="s">
        <v>29</v>
      </c>
      <c r="C3" s="95"/>
      <c r="D3" s="95"/>
      <c r="E3" s="95"/>
      <c r="F3" s="95"/>
      <c r="G3" s="95"/>
      <c r="H3" s="95"/>
    </row>
    <row r="4" spans="1:8" x14ac:dyDescent="0.25">
      <c r="A4" s="23" t="s">
        <v>39</v>
      </c>
      <c r="B4" s="95" t="s">
        <v>30</v>
      </c>
      <c r="C4" s="95"/>
      <c r="D4" s="95"/>
      <c r="E4" s="95"/>
      <c r="F4" s="95"/>
      <c r="G4" s="95"/>
      <c r="H4" s="95"/>
    </row>
    <row r="5" spans="1:8" x14ac:dyDescent="0.25">
      <c r="A5" s="23" t="s">
        <v>40</v>
      </c>
      <c r="B5" s="95" t="s">
        <v>17</v>
      </c>
      <c r="C5" s="95"/>
      <c r="D5" s="95"/>
      <c r="E5" s="95"/>
      <c r="F5" s="95"/>
      <c r="G5" s="95"/>
      <c r="H5" s="95"/>
    </row>
    <row r="6" spans="1:8" x14ac:dyDescent="0.25">
      <c r="A6" s="24"/>
      <c r="B6" s="25"/>
      <c r="C6" s="26"/>
      <c r="D6" s="27"/>
      <c r="E6" s="27"/>
      <c r="F6" s="27"/>
      <c r="G6" s="27"/>
      <c r="H6" s="27"/>
    </row>
    <row r="7" spans="1:8" x14ac:dyDescent="0.25">
      <c r="A7" s="96" t="s">
        <v>41</v>
      </c>
      <c r="B7" s="97"/>
      <c r="C7" s="97"/>
      <c r="D7" s="97"/>
      <c r="E7" s="97"/>
      <c r="F7" s="97"/>
      <c r="G7" s="97"/>
      <c r="H7" s="98"/>
    </row>
    <row r="8" spans="1:8" x14ac:dyDescent="0.25">
      <c r="A8" s="28"/>
      <c r="B8" s="23"/>
      <c r="C8" s="28"/>
      <c r="D8" s="29"/>
      <c r="E8" s="30"/>
      <c r="F8" s="29"/>
      <c r="G8" s="29"/>
      <c r="H8" s="30"/>
    </row>
    <row r="9" spans="1:8" x14ac:dyDescent="0.25">
      <c r="A9" s="99" t="s">
        <v>42</v>
      </c>
      <c r="B9" s="99"/>
      <c r="C9" s="99"/>
      <c r="D9" s="99"/>
      <c r="E9" s="99"/>
      <c r="F9" s="99"/>
      <c r="G9" s="99"/>
      <c r="H9" s="99"/>
    </row>
    <row r="10" spans="1:8" x14ac:dyDescent="0.25">
      <c r="A10" s="31" t="s">
        <v>8</v>
      </c>
      <c r="B10" s="31" t="s">
        <v>9</v>
      </c>
      <c r="C10" s="31" t="s">
        <v>10</v>
      </c>
      <c r="D10" s="32" t="s">
        <v>11</v>
      </c>
      <c r="E10" s="33" t="s">
        <v>43</v>
      </c>
      <c r="F10" s="32" t="s">
        <v>44</v>
      </c>
      <c r="G10" s="33" t="s">
        <v>45</v>
      </c>
      <c r="H10" s="33" t="s">
        <v>46</v>
      </c>
    </row>
    <row r="11" spans="1:8" x14ac:dyDescent="0.25">
      <c r="A11" s="34" t="s">
        <v>96</v>
      </c>
      <c r="B11" s="35" t="s">
        <v>97</v>
      </c>
      <c r="C11" s="36" t="s">
        <v>49</v>
      </c>
      <c r="D11" s="37">
        <v>1</v>
      </c>
      <c r="E11" s="38">
        <v>20</v>
      </c>
      <c r="F11" s="37">
        <v>0.02</v>
      </c>
      <c r="G11" s="38">
        <v>0.4</v>
      </c>
      <c r="H11" s="39">
        <v>0.44444440000000002</v>
      </c>
    </row>
    <row r="12" spans="1:8" x14ac:dyDescent="0.25">
      <c r="A12" s="91" t="s">
        <v>50</v>
      </c>
      <c r="B12" s="91"/>
      <c r="C12" s="91"/>
      <c r="D12" s="91"/>
      <c r="E12" s="91"/>
      <c r="F12" s="91"/>
      <c r="G12" s="38">
        <v>0.4</v>
      </c>
      <c r="H12" s="39">
        <v>0.44444440000000002</v>
      </c>
    </row>
    <row r="13" spans="1:8" x14ac:dyDescent="0.25">
      <c r="A13" s="28"/>
      <c r="B13" s="23"/>
      <c r="C13" s="28"/>
      <c r="D13" s="29"/>
      <c r="E13" s="30"/>
      <c r="F13" s="29"/>
      <c r="G13" s="29"/>
      <c r="H13" s="30"/>
    </row>
    <row r="14" spans="1:8" x14ac:dyDescent="0.25">
      <c r="A14" s="99" t="s">
        <v>51</v>
      </c>
      <c r="B14" s="99"/>
      <c r="C14" s="99"/>
      <c r="D14" s="99"/>
      <c r="E14" s="99"/>
      <c r="F14" s="99"/>
      <c r="G14" s="99"/>
      <c r="H14" s="99"/>
    </row>
    <row r="15" spans="1:8" x14ac:dyDescent="0.25">
      <c r="A15" s="31" t="s">
        <v>8</v>
      </c>
      <c r="B15" s="31" t="s">
        <v>9</v>
      </c>
      <c r="C15" s="31" t="s">
        <v>10</v>
      </c>
      <c r="D15" s="32" t="s">
        <v>11</v>
      </c>
      <c r="E15" s="33" t="s">
        <v>43</v>
      </c>
      <c r="F15" s="40"/>
      <c r="G15" s="33" t="s">
        <v>45</v>
      </c>
      <c r="H15" s="33" t="s">
        <v>46</v>
      </c>
    </row>
    <row r="16" spans="1:8" ht="36" x14ac:dyDescent="0.25">
      <c r="A16" s="34" t="s">
        <v>98</v>
      </c>
      <c r="B16" s="42" t="s">
        <v>99</v>
      </c>
      <c r="C16" s="36" t="s">
        <v>17</v>
      </c>
      <c r="D16" s="37">
        <v>1</v>
      </c>
      <c r="E16" s="38">
        <v>0.4</v>
      </c>
      <c r="F16" s="40"/>
      <c r="G16" s="38">
        <v>0.4</v>
      </c>
      <c r="H16" s="39">
        <v>0.44444440000000002</v>
      </c>
    </row>
    <row r="17" spans="1:8" x14ac:dyDescent="0.25">
      <c r="A17" s="91" t="s">
        <v>52</v>
      </c>
      <c r="B17" s="91"/>
      <c r="C17" s="91"/>
      <c r="D17" s="91"/>
      <c r="E17" s="91"/>
      <c r="F17" s="91"/>
      <c r="G17" s="38">
        <v>0.4</v>
      </c>
      <c r="H17" s="39">
        <v>0.44444440000000002</v>
      </c>
    </row>
    <row r="18" spans="1:8" x14ac:dyDescent="0.25">
      <c r="A18" s="28"/>
      <c r="B18" s="23"/>
      <c r="C18" s="28"/>
      <c r="D18" s="29"/>
      <c r="E18" s="30"/>
      <c r="F18" s="29"/>
      <c r="G18" s="29"/>
      <c r="H18" s="30"/>
    </row>
    <row r="19" spans="1:8" x14ac:dyDescent="0.25">
      <c r="A19" s="99" t="s">
        <v>53</v>
      </c>
      <c r="B19" s="99"/>
      <c r="C19" s="99"/>
      <c r="D19" s="99"/>
      <c r="E19" s="99"/>
      <c r="F19" s="99"/>
      <c r="G19" s="99"/>
      <c r="H19" s="99"/>
    </row>
    <row r="20" spans="1:8" x14ac:dyDescent="0.25">
      <c r="A20" s="31" t="s">
        <v>8</v>
      </c>
      <c r="B20" s="31" t="s">
        <v>9</v>
      </c>
      <c r="C20" s="31" t="s">
        <v>10</v>
      </c>
      <c r="D20" s="31" t="s">
        <v>11</v>
      </c>
      <c r="E20" s="31" t="s">
        <v>54</v>
      </c>
      <c r="F20" s="31" t="s">
        <v>55</v>
      </c>
      <c r="G20" s="31" t="s">
        <v>45</v>
      </c>
      <c r="H20" s="33" t="s">
        <v>46</v>
      </c>
    </row>
    <row r="21" spans="1:8" x14ac:dyDescent="0.25">
      <c r="A21" s="34"/>
      <c r="B21" s="42"/>
      <c r="C21" s="36"/>
      <c r="D21" s="37"/>
      <c r="E21" s="38"/>
      <c r="F21" s="43"/>
      <c r="G21" s="43"/>
      <c r="H21" s="39"/>
    </row>
    <row r="22" spans="1:8" x14ac:dyDescent="0.25">
      <c r="A22" s="91" t="s">
        <v>56</v>
      </c>
      <c r="B22" s="103"/>
      <c r="C22" s="103"/>
      <c r="D22" s="103"/>
      <c r="E22" s="103"/>
      <c r="F22" s="103"/>
      <c r="G22" s="38">
        <v>0</v>
      </c>
      <c r="H22" s="39">
        <v>0</v>
      </c>
    </row>
    <row r="23" spans="1:8" x14ac:dyDescent="0.25">
      <c r="A23" s="28"/>
      <c r="B23" s="23"/>
      <c r="C23" s="28"/>
      <c r="D23" s="29"/>
      <c r="E23" s="30"/>
      <c r="F23" s="29"/>
      <c r="G23" s="29"/>
      <c r="H23" s="30"/>
    </row>
    <row r="24" spans="1:8" x14ac:dyDescent="0.25">
      <c r="A24" s="99" t="s">
        <v>57</v>
      </c>
      <c r="B24" s="99"/>
      <c r="C24" s="99"/>
      <c r="D24" s="99"/>
      <c r="E24" s="99"/>
      <c r="F24" s="99"/>
      <c r="G24" s="99"/>
      <c r="H24" s="99"/>
    </row>
    <row r="25" spans="1:8" ht="13.5" customHeight="1" x14ac:dyDescent="0.25">
      <c r="A25" s="31" t="s">
        <v>8</v>
      </c>
      <c r="B25" s="99" t="s">
        <v>9</v>
      </c>
      <c r="C25" s="99"/>
      <c r="D25" s="31" t="s">
        <v>58</v>
      </c>
      <c r="E25" s="31" t="s">
        <v>59</v>
      </c>
      <c r="F25" s="31" t="s">
        <v>44</v>
      </c>
      <c r="G25" s="31" t="s">
        <v>45</v>
      </c>
      <c r="H25" s="33" t="s">
        <v>46</v>
      </c>
    </row>
    <row r="26" spans="1:8" ht="12.75" customHeight="1" x14ac:dyDescent="0.25">
      <c r="A26" s="34" t="s">
        <v>100</v>
      </c>
      <c r="B26" s="94" t="s">
        <v>101</v>
      </c>
      <c r="C26" s="94"/>
      <c r="D26" s="38">
        <v>1</v>
      </c>
      <c r="E26" s="38">
        <v>5</v>
      </c>
      <c r="F26" s="37">
        <v>0.02</v>
      </c>
      <c r="G26" s="38">
        <v>0.1</v>
      </c>
      <c r="H26" s="39">
        <v>0.1111111</v>
      </c>
    </row>
    <row r="27" spans="1:8" x14ac:dyDescent="0.25">
      <c r="A27" s="91" t="s">
        <v>64</v>
      </c>
      <c r="B27" s="91"/>
      <c r="C27" s="91"/>
      <c r="D27" s="91"/>
      <c r="E27" s="91"/>
      <c r="F27" s="91"/>
      <c r="G27" s="38">
        <v>0.1</v>
      </c>
      <c r="H27" s="39">
        <v>0.1111111</v>
      </c>
    </row>
    <row r="28" spans="1:8" x14ac:dyDescent="0.25">
      <c r="A28" s="28"/>
      <c r="B28" s="23"/>
      <c r="C28" s="28"/>
      <c r="D28" s="29"/>
      <c r="E28" s="30"/>
      <c r="F28" s="29"/>
      <c r="G28" s="29"/>
      <c r="H28" s="30"/>
    </row>
    <row r="29" spans="1:8" x14ac:dyDescent="0.25">
      <c r="A29" s="92" t="s">
        <v>65</v>
      </c>
      <c r="B29" s="93"/>
      <c r="C29" s="93"/>
      <c r="D29" s="93"/>
      <c r="E29" s="93"/>
      <c r="F29" s="93"/>
      <c r="G29" s="45"/>
      <c r="H29" s="22">
        <v>0.9</v>
      </c>
    </row>
    <row r="30" spans="1:8" x14ac:dyDescent="0.25">
      <c r="A30" s="44"/>
      <c r="B30" s="45"/>
      <c r="C30" s="45"/>
      <c r="D30" s="45"/>
      <c r="E30" s="45"/>
      <c r="F30" s="45"/>
      <c r="G30" s="45"/>
      <c r="H30" s="22"/>
    </row>
    <row r="31" spans="1:8" x14ac:dyDescent="0.25">
      <c r="A31" s="96" t="s">
        <v>66</v>
      </c>
      <c r="B31" s="97"/>
      <c r="C31" s="97"/>
      <c r="D31" s="97"/>
      <c r="E31" s="97"/>
      <c r="F31" s="97"/>
      <c r="G31" s="97"/>
      <c r="H31" s="98"/>
    </row>
    <row r="32" spans="1:8" x14ac:dyDescent="0.25">
      <c r="A32" s="92" t="s">
        <v>33</v>
      </c>
      <c r="B32" s="93"/>
      <c r="C32" s="93"/>
      <c r="D32" s="93"/>
      <c r="E32" s="93"/>
      <c r="F32" s="93"/>
      <c r="G32" s="45"/>
      <c r="H32" s="22">
        <v>0.11</v>
      </c>
    </row>
    <row r="33" spans="1:8" x14ac:dyDescent="0.25">
      <c r="A33" s="28"/>
      <c r="B33" s="23"/>
      <c r="C33" s="28"/>
      <c r="D33" s="29"/>
      <c r="E33" s="30"/>
      <c r="F33" s="29"/>
      <c r="G33" s="29"/>
      <c r="H33" s="30"/>
    </row>
    <row r="34" spans="1:8" x14ac:dyDescent="0.25">
      <c r="A34" s="101" t="s">
        <v>67</v>
      </c>
      <c r="B34" s="102"/>
      <c r="C34" s="102"/>
      <c r="D34" s="102"/>
      <c r="E34" s="102"/>
      <c r="F34" s="102"/>
      <c r="G34" s="46"/>
      <c r="H34" s="47">
        <v>1.01</v>
      </c>
    </row>
    <row r="35" spans="1:8" x14ac:dyDescent="0.25">
      <c r="A35" s="48"/>
      <c r="B35" s="25"/>
      <c r="C35" s="26"/>
      <c r="D35" s="49"/>
      <c r="E35" s="27"/>
      <c r="F35" s="49"/>
      <c r="G35" s="49"/>
      <c r="H35" s="27"/>
    </row>
    <row r="36" spans="1:8" x14ac:dyDescent="0.25">
      <c r="A36" s="50" t="s">
        <v>35</v>
      </c>
      <c r="B36" s="51" t="s">
        <v>102</v>
      </c>
      <c r="C36" s="52"/>
      <c r="D36" s="53"/>
      <c r="E36" s="53"/>
      <c r="F36" s="53"/>
      <c r="G36" s="53"/>
      <c r="H36" s="53"/>
    </row>
  </sheetData>
  <sheetProtection formatCells="0" formatColumns="0" formatRows="0" insertColumns="0" insertRows="0" insertHyperlinks="0" deleteColumns="0" deleteRows="0" sort="0" autoFilter="0" pivotTables="0"/>
  <mergeCells count="21">
    <mergeCell ref="A34:F34"/>
    <mergeCell ref="A19:H19"/>
    <mergeCell ref="A22:F22"/>
    <mergeCell ref="A24:H24"/>
    <mergeCell ref="A27:F27"/>
    <mergeCell ref="A29:F29"/>
    <mergeCell ref="A31:H31"/>
    <mergeCell ref="B26:C26"/>
    <mergeCell ref="B25:C25"/>
    <mergeCell ref="A1:H1"/>
    <mergeCell ref="A17:F17"/>
    <mergeCell ref="A32:F32"/>
    <mergeCell ref="B2:D2"/>
    <mergeCell ref="A7:H7"/>
    <mergeCell ref="A9:H9"/>
    <mergeCell ref="A12:F12"/>
    <mergeCell ref="A14:H14"/>
    <mergeCell ref="F2:H2"/>
    <mergeCell ref="B3:H3"/>
    <mergeCell ref="B4:H4"/>
    <mergeCell ref="B5:H5"/>
  </mergeCells>
  <pageMargins left="0.54027780000000003" right="0.37986110000000001" top="0.4" bottom="0.60972219999999999" header="0.2097222" footer="0.49027779999999999"/>
  <pageSetup paperSize="9" orientation="portrait" verticalDpi="1200" r:id="rId1"/>
  <headerFooter alignWithMargins="0">
    <oddHeader>&amp;L- InterPro -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AFA5-4BB2-4206-A451-1DEE55DF7F15}">
  <dimension ref="A1:H59"/>
  <sheetViews>
    <sheetView workbookViewId="0">
      <selection sqref="A1:H1"/>
    </sheetView>
  </sheetViews>
  <sheetFormatPr baseColWidth="10" defaultRowHeight="15" x14ac:dyDescent="0.25"/>
  <cols>
    <col min="1" max="1" width="15.140625" style="55" customWidth="1"/>
    <col min="2" max="2" width="17.140625" style="55" customWidth="1"/>
    <col min="3" max="3" width="57.85546875" bestFit="1" customWidth="1"/>
    <col min="4" max="4" width="9.28515625" style="56" bestFit="1" customWidth="1"/>
    <col min="5" max="5" width="9" style="58" customWidth="1"/>
    <col min="6" max="6" width="8.85546875" style="56" bestFit="1" customWidth="1"/>
    <col min="7" max="7" width="13.7109375" style="58" bestFit="1" customWidth="1"/>
    <col min="8" max="8" width="12" style="56" bestFit="1" customWidth="1"/>
    <col min="9" max="9" width="12.85546875" bestFit="1" customWidth="1"/>
    <col min="10" max="10" width="12" bestFit="1" customWidth="1"/>
  </cols>
  <sheetData>
    <row r="1" spans="1:8" x14ac:dyDescent="0.25">
      <c r="A1" s="136" t="s">
        <v>150</v>
      </c>
      <c r="B1" s="136"/>
      <c r="C1" s="136"/>
      <c r="D1" s="136"/>
      <c r="E1" s="136"/>
      <c r="F1" s="136"/>
      <c r="G1" s="136"/>
      <c r="H1" s="136"/>
    </row>
    <row r="2" spans="1:8" s="54" customFormat="1" x14ac:dyDescent="0.25">
      <c r="A2" s="79" t="s">
        <v>149</v>
      </c>
      <c r="B2" s="79" t="s">
        <v>148</v>
      </c>
      <c r="C2" s="79" t="s">
        <v>153</v>
      </c>
      <c r="D2" s="62" t="s">
        <v>10</v>
      </c>
      <c r="E2" s="63" t="s">
        <v>43</v>
      </c>
      <c r="F2" s="62" t="s">
        <v>11</v>
      </c>
      <c r="G2" s="63" t="s">
        <v>114</v>
      </c>
      <c r="H2" s="62" t="s">
        <v>115</v>
      </c>
    </row>
    <row r="3" spans="1:8" s="54" customFormat="1" x14ac:dyDescent="0.25">
      <c r="A3" s="142" t="s">
        <v>103</v>
      </c>
      <c r="B3" s="142"/>
      <c r="C3" s="143"/>
      <c r="D3" s="144"/>
      <c r="E3" s="145"/>
      <c r="F3" s="144"/>
      <c r="G3" s="145">
        <f>SUM(G4:G7)</f>
        <v>456.26</v>
      </c>
      <c r="H3" s="155">
        <f t="shared" ref="H3" si="0">ROUND(G3/$G$31,5)</f>
        <v>0.17726</v>
      </c>
    </row>
    <row r="4" spans="1:8" x14ac:dyDescent="0.25">
      <c r="A4" s="69" t="s">
        <v>118</v>
      </c>
      <c r="B4" s="132"/>
      <c r="C4" s="133" t="s">
        <v>48</v>
      </c>
      <c r="D4" s="134" t="s">
        <v>49</v>
      </c>
      <c r="E4" s="135">
        <v>0.5</v>
      </c>
      <c r="F4" s="134">
        <f>ROUND((Presupuesto!E9*'504055'!D11*'504055'!F11)+(Presupuesto!E11*'505055'!D11*'505055'!F11)+(Presupuesto!E12*'510037'!D11*'510037'!F11)+(Presupuesto!E12*'508003'!D11*'508003'!F11*'510037'!D17),4)</f>
        <v>72.546999999999997</v>
      </c>
      <c r="G4" s="135">
        <f>ROUND(E4*F4,2)</f>
        <v>36.270000000000003</v>
      </c>
      <c r="H4" s="67">
        <f>ROUND(G4/$G$31,5)</f>
        <v>1.409E-2</v>
      </c>
    </row>
    <row r="5" spans="1:8" x14ac:dyDescent="0.25">
      <c r="A5" s="69" t="s">
        <v>118</v>
      </c>
      <c r="B5" s="132"/>
      <c r="C5" s="133" t="s">
        <v>70</v>
      </c>
      <c r="D5" s="134" t="s">
        <v>49</v>
      </c>
      <c r="E5" s="135">
        <v>20</v>
      </c>
      <c r="F5" s="134">
        <f>ROUND('504001'!D11*'504001'!F11*Presupuesto!E10,4)</f>
        <v>9.8199999999999996E-2</v>
      </c>
      <c r="G5" s="135">
        <f t="shared" ref="G5:G14" si="1">ROUND(E5*F5,2)</f>
        <v>1.96</v>
      </c>
      <c r="H5" s="67">
        <f t="shared" ref="H5:H8" si="2">ROUND(G5/$G$31,5)</f>
        <v>7.6000000000000004E-4</v>
      </c>
    </row>
    <row r="6" spans="1:8" x14ac:dyDescent="0.25">
      <c r="A6" s="69" t="s">
        <v>118</v>
      </c>
      <c r="B6" s="132"/>
      <c r="C6" s="133" t="s">
        <v>108</v>
      </c>
      <c r="D6" s="134" t="s">
        <v>49</v>
      </c>
      <c r="E6" s="135">
        <v>20</v>
      </c>
      <c r="F6" s="134">
        <f>ROUND('506004'!D11*'506004'!F11*Presupuesto!E13,4)</f>
        <v>20.072800000000001</v>
      </c>
      <c r="G6" s="135">
        <f t="shared" si="1"/>
        <v>401.46</v>
      </c>
      <c r="H6" s="67">
        <f t="shared" si="2"/>
        <v>0.15597</v>
      </c>
    </row>
    <row r="7" spans="1:8" x14ac:dyDescent="0.25">
      <c r="A7" s="69" t="s">
        <v>118</v>
      </c>
      <c r="B7" s="132"/>
      <c r="C7" s="133" t="s">
        <v>77</v>
      </c>
      <c r="D7" s="134" t="s">
        <v>49</v>
      </c>
      <c r="E7" s="135">
        <v>3.5</v>
      </c>
      <c r="F7" s="134">
        <f>ROUND(Presupuesto!E11*'505055'!D12*'505055'!F12,4)</f>
        <v>4.734</v>
      </c>
      <c r="G7" s="135">
        <f t="shared" si="1"/>
        <v>16.57</v>
      </c>
      <c r="H7" s="67">
        <f t="shared" si="2"/>
        <v>6.4400000000000004E-3</v>
      </c>
    </row>
    <row r="8" spans="1:8" s="54" customFormat="1" x14ac:dyDescent="0.25">
      <c r="A8" s="142" t="s">
        <v>104</v>
      </c>
      <c r="B8" s="142"/>
      <c r="C8" s="142"/>
      <c r="D8" s="146"/>
      <c r="E8" s="147"/>
      <c r="F8" s="146"/>
      <c r="G8" s="147">
        <f>SUM(G9:G14)</f>
        <v>1402.9799999999998</v>
      </c>
      <c r="H8" s="155">
        <f t="shared" si="2"/>
        <v>0.54505999999999999</v>
      </c>
    </row>
    <row r="9" spans="1:8" x14ac:dyDescent="0.25">
      <c r="A9" s="69" t="s">
        <v>119</v>
      </c>
      <c r="B9" s="131"/>
      <c r="C9" s="59" t="s">
        <v>109</v>
      </c>
      <c r="D9" s="60" t="s">
        <v>116</v>
      </c>
      <c r="E9" s="61">
        <v>7.25</v>
      </c>
      <c r="F9" s="134">
        <f>ROUND('508003'!D16*'510037'!D17*Presupuesto!E12,4)</f>
        <v>20.350000000000001</v>
      </c>
      <c r="G9" s="135">
        <f t="shared" si="1"/>
        <v>147.54</v>
      </c>
      <c r="H9" s="67">
        <f t="shared" ref="H9:H15" si="3">ROUND(G9/$G$31,5)</f>
        <v>5.7320000000000003E-2</v>
      </c>
    </row>
    <row r="10" spans="1:8" x14ac:dyDescent="0.25">
      <c r="A10" s="69" t="s">
        <v>120</v>
      </c>
      <c r="B10" s="131"/>
      <c r="C10" s="59" t="s">
        <v>93</v>
      </c>
      <c r="D10" s="60" t="s">
        <v>117</v>
      </c>
      <c r="E10" s="61">
        <v>0.01</v>
      </c>
      <c r="F10" s="134">
        <f>ROUND('508003'!D18*'510037'!D17*Presupuesto!E12,4)</f>
        <v>508.75</v>
      </c>
      <c r="G10" s="135">
        <f t="shared" si="1"/>
        <v>5.09</v>
      </c>
      <c r="H10" s="67">
        <f t="shared" si="3"/>
        <v>1.98E-3</v>
      </c>
    </row>
    <row r="11" spans="1:8" x14ac:dyDescent="0.25">
      <c r="A11" s="69" t="s">
        <v>120</v>
      </c>
      <c r="B11" s="131"/>
      <c r="C11" s="59" t="s">
        <v>99</v>
      </c>
      <c r="D11" s="60" t="s">
        <v>17</v>
      </c>
      <c r="E11" s="61">
        <v>0.4</v>
      </c>
      <c r="F11" s="134">
        <f>ROUND('506004'!D16*Presupuesto!E13,4)</f>
        <v>1003.64</v>
      </c>
      <c r="G11" s="135">
        <f t="shared" si="1"/>
        <v>401.46</v>
      </c>
      <c r="H11" s="67">
        <f t="shared" si="3"/>
        <v>0.15597</v>
      </c>
    </row>
    <row r="12" spans="1:8" x14ac:dyDescent="0.25">
      <c r="A12" s="69" t="s">
        <v>121</v>
      </c>
      <c r="B12" s="131"/>
      <c r="C12" s="59" t="s">
        <v>110</v>
      </c>
      <c r="D12" s="60" t="s">
        <v>83</v>
      </c>
      <c r="E12" s="61">
        <v>0.5</v>
      </c>
      <c r="F12" s="134">
        <f>ROUND(Presupuesto!E12*'510037'!D16,4)</f>
        <v>1322.75</v>
      </c>
      <c r="G12" s="135">
        <f t="shared" si="1"/>
        <v>661.38</v>
      </c>
      <c r="H12" s="67">
        <f t="shared" si="3"/>
        <v>0.25695000000000001</v>
      </c>
    </row>
    <row r="13" spans="1:8" x14ac:dyDescent="0.25">
      <c r="A13" s="69" t="s">
        <v>122</v>
      </c>
      <c r="B13" s="131"/>
      <c r="C13" s="59" t="s">
        <v>111</v>
      </c>
      <c r="D13" s="60" t="s">
        <v>17</v>
      </c>
      <c r="E13" s="61">
        <v>20.5</v>
      </c>
      <c r="F13" s="134">
        <f>ROUND('508003'!D17*'510037'!D17*Presupuesto!E12,4)</f>
        <v>2.3403</v>
      </c>
      <c r="G13" s="135">
        <f t="shared" si="1"/>
        <v>47.98</v>
      </c>
      <c r="H13" s="67">
        <f t="shared" si="3"/>
        <v>1.864E-2</v>
      </c>
    </row>
    <row r="14" spans="1:8" x14ac:dyDescent="0.25">
      <c r="A14" s="69" t="s">
        <v>122</v>
      </c>
      <c r="B14" s="131"/>
      <c r="C14" s="59" t="s">
        <v>79</v>
      </c>
      <c r="D14" s="60" t="s">
        <v>17</v>
      </c>
      <c r="E14" s="61">
        <v>13.5</v>
      </c>
      <c r="F14" s="134">
        <f>ROUND(Presupuesto!E11*'505055'!D17,4)</f>
        <v>10.335900000000001</v>
      </c>
      <c r="G14" s="135">
        <f t="shared" si="1"/>
        <v>139.53</v>
      </c>
      <c r="H14" s="67">
        <f t="shared" si="3"/>
        <v>5.4210000000000001E-2</v>
      </c>
    </row>
    <row r="15" spans="1:8" s="54" customFormat="1" x14ac:dyDescent="0.25">
      <c r="A15" s="142" t="s">
        <v>105</v>
      </c>
      <c r="B15" s="142"/>
      <c r="C15" s="143"/>
      <c r="D15" s="144"/>
      <c r="E15" s="145"/>
      <c r="F15" s="144"/>
      <c r="G15" s="145">
        <f>SUM(G16:G19)</f>
        <v>0</v>
      </c>
      <c r="H15" s="155">
        <f t="shared" si="3"/>
        <v>0</v>
      </c>
    </row>
    <row r="16" spans="1:8" x14ac:dyDescent="0.25">
      <c r="A16" s="132"/>
      <c r="B16" s="132"/>
      <c r="C16" s="133"/>
      <c r="D16" s="134"/>
      <c r="E16" s="135"/>
      <c r="F16" s="134"/>
      <c r="G16" s="135"/>
      <c r="H16" s="134"/>
    </row>
    <row r="17" spans="1:8" x14ac:dyDescent="0.25">
      <c r="A17" s="132"/>
      <c r="B17" s="132"/>
      <c r="C17" s="133"/>
      <c r="D17" s="134"/>
      <c r="E17" s="135"/>
      <c r="F17" s="134"/>
      <c r="G17" s="135"/>
      <c r="H17" s="134"/>
    </row>
    <row r="18" spans="1:8" x14ac:dyDescent="0.25">
      <c r="A18" s="132"/>
      <c r="B18" s="132"/>
      <c r="C18" s="133"/>
      <c r="D18" s="134"/>
      <c r="E18" s="135"/>
      <c r="F18" s="134"/>
      <c r="G18" s="135"/>
      <c r="H18" s="134"/>
    </row>
    <row r="19" spans="1:8" x14ac:dyDescent="0.25">
      <c r="A19" s="132"/>
      <c r="B19" s="132"/>
      <c r="C19" s="133"/>
      <c r="D19" s="134"/>
      <c r="E19" s="135"/>
      <c r="F19" s="134"/>
      <c r="G19" s="135"/>
      <c r="H19" s="134"/>
    </row>
    <row r="20" spans="1:8" s="54" customFormat="1" x14ac:dyDescent="0.25">
      <c r="A20" s="142" t="s">
        <v>106</v>
      </c>
      <c r="B20" s="142"/>
      <c r="C20" s="143"/>
      <c r="D20" s="144"/>
      <c r="E20" s="145"/>
      <c r="F20" s="144"/>
      <c r="G20" s="145">
        <f>SUM(G21:G25)</f>
        <v>714.73</v>
      </c>
      <c r="H20" s="155">
        <f t="shared" ref="H20" si="4">ROUND(G20/$G$31,5)</f>
        <v>0.27767999999999998</v>
      </c>
    </row>
    <row r="21" spans="1:8" x14ac:dyDescent="0.25">
      <c r="A21" s="69" t="s">
        <v>123</v>
      </c>
      <c r="B21" s="131"/>
      <c r="C21" s="59" t="s">
        <v>61</v>
      </c>
      <c r="D21" s="60" t="s">
        <v>49</v>
      </c>
      <c r="E21" s="61">
        <v>3.46</v>
      </c>
      <c r="F21" s="134">
        <f>ROUND(Presupuesto!E9*'504055'!D26*'504055'!F26+Presupuesto!E10*'504001'!D26*'504001'!F26+Presupuesto!E11*'505055'!D27*'505055'!F27+Presupuesto!E12*'510037'!D27*'510037'!F27+Presupuesto!E12*'510037'!D17*'508003'!D28*'508003'!F28,4)</f>
        <v>72.743399999999994</v>
      </c>
      <c r="G21" s="135">
        <f t="shared" ref="G21:G25" si="5">ROUND(E21*F21,2)</f>
        <v>251.69</v>
      </c>
      <c r="H21" s="67">
        <f>ROUND(G21/$G$31,5)</f>
        <v>9.7780000000000006E-2</v>
      </c>
    </row>
    <row r="22" spans="1:8" x14ac:dyDescent="0.25">
      <c r="A22" s="69" t="s">
        <v>123</v>
      </c>
      <c r="B22" s="131"/>
      <c r="C22" s="59" t="s">
        <v>72</v>
      </c>
      <c r="D22" s="60" t="s">
        <v>49</v>
      </c>
      <c r="E22" s="61">
        <v>4.29</v>
      </c>
      <c r="F22" s="134">
        <f>ROUND(Presupuesto!E10*'504001'!D27*'504001'!F27+Presupuesto!E11*'505055'!D28*'505055'!F28+Presupuesto!E12*'510037'!D28*'510037'!F28+Presupuesto!E12*'510037'!D17*'508003'!D29*'508003'!F29,4)</f>
        <v>67.713700000000003</v>
      </c>
      <c r="G22" s="135">
        <f t="shared" si="5"/>
        <v>290.49</v>
      </c>
      <c r="H22" s="67">
        <f t="shared" ref="H22:H26" si="6">ROUND(G22/$G$31,5)</f>
        <v>0.11286</v>
      </c>
    </row>
    <row r="23" spans="1:8" x14ac:dyDescent="0.25">
      <c r="A23" s="69" t="s">
        <v>123</v>
      </c>
      <c r="B23" s="131"/>
      <c r="C23" s="59" t="s">
        <v>112</v>
      </c>
      <c r="D23" s="60" t="s">
        <v>49</v>
      </c>
      <c r="E23" s="61">
        <v>5.1100000000000003</v>
      </c>
      <c r="F23" s="134">
        <f>ROUND(Presupuesto!E9*'504055'!D27*'504055'!F27+Presupuesto!E10*'504001'!D29*'504001'!F29+Presupuesto!E11*'505055'!D29*'505055'!F29+Presupuesto!E12*'510037'!D29*'510037'!F29+Presupuesto!E12*'510037'!D17*'508003'!D30*'508003'!F30,4)</f>
        <v>14.0555</v>
      </c>
      <c r="G23" s="135">
        <f t="shared" si="5"/>
        <v>71.819999999999993</v>
      </c>
      <c r="H23" s="67">
        <f t="shared" si="6"/>
        <v>2.7900000000000001E-2</v>
      </c>
    </row>
    <row r="24" spans="1:8" x14ac:dyDescent="0.25">
      <c r="A24" s="69" t="s">
        <v>123</v>
      </c>
      <c r="B24" s="131"/>
      <c r="C24" s="59" t="s">
        <v>74</v>
      </c>
      <c r="D24" s="60" t="s">
        <v>49</v>
      </c>
      <c r="E24" s="61">
        <v>3.8</v>
      </c>
      <c r="F24" s="134">
        <f>ROUND(Presupuesto!E10*'504001'!D28*'504001'!F28,4)</f>
        <v>9.8199999999999996E-2</v>
      </c>
      <c r="G24" s="135">
        <f t="shared" si="5"/>
        <v>0.37</v>
      </c>
      <c r="H24" s="67">
        <f t="shared" si="6"/>
        <v>1.3999999999999999E-4</v>
      </c>
    </row>
    <row r="25" spans="1:8" x14ac:dyDescent="0.25">
      <c r="A25" s="69" t="s">
        <v>123</v>
      </c>
      <c r="B25" s="131"/>
      <c r="C25" s="59" t="s">
        <v>113</v>
      </c>
      <c r="D25" s="60" t="s">
        <v>49</v>
      </c>
      <c r="E25" s="61">
        <v>5</v>
      </c>
      <c r="F25" s="134">
        <f>ROUND(Presupuesto!E13*'506004'!D26*'506004'!F26,4)</f>
        <v>20.072800000000001</v>
      </c>
      <c r="G25" s="135">
        <f t="shared" si="5"/>
        <v>100.36</v>
      </c>
      <c r="H25" s="67">
        <f t="shared" si="6"/>
        <v>3.8989999999999997E-2</v>
      </c>
    </row>
    <row r="26" spans="1:8" s="54" customFormat="1" x14ac:dyDescent="0.25">
      <c r="A26" s="142" t="s">
        <v>107</v>
      </c>
      <c r="B26" s="142"/>
      <c r="C26" s="143"/>
      <c r="D26" s="144"/>
      <c r="E26" s="145"/>
      <c r="F26" s="144"/>
      <c r="G26" s="145">
        <f>SUM(G27:G30)</f>
        <v>0</v>
      </c>
      <c r="H26" s="155">
        <f t="shared" si="6"/>
        <v>0</v>
      </c>
    </row>
    <row r="27" spans="1:8" x14ac:dyDescent="0.25">
      <c r="A27" s="132"/>
      <c r="B27" s="132"/>
      <c r="C27" s="133"/>
      <c r="D27" s="134"/>
      <c r="E27" s="135"/>
      <c r="F27" s="134"/>
      <c r="G27" s="135"/>
      <c r="H27" s="134"/>
    </row>
    <row r="28" spans="1:8" x14ac:dyDescent="0.25">
      <c r="A28" s="132"/>
      <c r="B28" s="132"/>
      <c r="C28" s="133"/>
      <c r="D28" s="134"/>
      <c r="E28" s="135"/>
      <c r="F28" s="134"/>
      <c r="G28" s="135"/>
      <c r="H28" s="134"/>
    </row>
    <row r="29" spans="1:8" x14ac:dyDescent="0.25">
      <c r="A29" s="132"/>
      <c r="B29" s="132"/>
      <c r="C29" s="133"/>
      <c r="D29" s="134"/>
      <c r="E29" s="135"/>
      <c r="F29" s="134"/>
      <c r="G29" s="135"/>
      <c r="H29" s="134"/>
    </row>
    <row r="30" spans="1:8" x14ac:dyDescent="0.25">
      <c r="A30" s="132"/>
      <c r="B30" s="132"/>
      <c r="C30" s="133"/>
      <c r="D30" s="134"/>
      <c r="E30" s="135"/>
      <c r="F30" s="134"/>
      <c r="G30" s="135"/>
      <c r="H30" s="134"/>
    </row>
    <row r="31" spans="1:8" x14ac:dyDescent="0.25">
      <c r="A31" s="105" t="s">
        <v>135</v>
      </c>
      <c r="B31" s="105"/>
      <c r="C31" s="105"/>
      <c r="D31" s="105"/>
      <c r="E31" s="105"/>
      <c r="F31" s="105"/>
      <c r="G31" s="137">
        <f>+G3+G8+G15+G20+G26</f>
        <v>2573.9699999999998</v>
      </c>
      <c r="H31" s="138">
        <f t="shared" ref="H31" si="7">ROUND(G31/$G$31,5)</f>
        <v>1</v>
      </c>
    </row>
    <row r="33" spans="1:8" ht="15" customHeight="1" x14ac:dyDescent="0.25">
      <c r="A33" s="104" t="s">
        <v>138</v>
      </c>
      <c r="B33" s="104"/>
      <c r="C33" s="104"/>
      <c r="D33" s="104"/>
      <c r="E33" s="104"/>
      <c r="F33" s="104"/>
      <c r="G33" s="104"/>
      <c r="H33" s="104"/>
    </row>
    <row r="34" spans="1:8" x14ac:dyDescent="0.25">
      <c r="A34" s="104"/>
      <c r="B34" s="104"/>
      <c r="C34" s="104"/>
      <c r="D34" s="104"/>
      <c r="E34" s="104"/>
      <c r="F34" s="104"/>
      <c r="G34" s="104"/>
      <c r="H34" s="104"/>
    </row>
    <row r="35" spans="1:8" x14ac:dyDescent="0.25">
      <c r="A35" s="104"/>
      <c r="B35" s="104"/>
      <c r="C35" s="104"/>
      <c r="D35" s="104"/>
      <c r="E35" s="104"/>
      <c r="F35" s="104"/>
      <c r="G35" s="104"/>
      <c r="H35" s="104"/>
    </row>
    <row r="36" spans="1:8" x14ac:dyDescent="0.25">
      <c r="A36" s="104"/>
      <c r="B36" s="104"/>
      <c r="C36" s="104"/>
      <c r="D36" s="104"/>
      <c r="E36" s="104"/>
      <c r="F36" s="104"/>
      <c r="G36" s="104"/>
      <c r="H36" s="104"/>
    </row>
    <row r="37" spans="1:8" x14ac:dyDescent="0.25">
      <c r="A37" s="104"/>
      <c r="B37" s="104"/>
      <c r="C37" s="104"/>
      <c r="D37" s="104"/>
      <c r="E37" s="104"/>
      <c r="F37" s="104"/>
      <c r="G37" s="104"/>
      <c r="H37" s="104"/>
    </row>
    <row r="38" spans="1:8" x14ac:dyDescent="0.25">
      <c r="A38" s="104"/>
      <c r="B38" s="104"/>
      <c r="C38" s="104"/>
      <c r="D38" s="104"/>
      <c r="E38" s="104"/>
      <c r="F38" s="104"/>
      <c r="G38" s="104"/>
      <c r="H38" s="104"/>
    </row>
    <row r="39" spans="1:8" x14ac:dyDescent="0.25">
      <c r="A39" s="104"/>
      <c r="B39" s="104"/>
      <c r="C39" s="104"/>
      <c r="D39" s="104"/>
      <c r="E39" s="104"/>
      <c r="F39" s="104"/>
      <c r="G39" s="104"/>
      <c r="H39" s="104"/>
    </row>
    <row r="40" spans="1:8" x14ac:dyDescent="0.25">
      <c r="A40" s="104"/>
      <c r="B40" s="104"/>
      <c r="C40" s="104"/>
      <c r="D40" s="104"/>
      <c r="E40" s="104"/>
      <c r="F40" s="104"/>
      <c r="G40" s="104"/>
      <c r="H40" s="104"/>
    </row>
    <row r="41" spans="1:8" x14ac:dyDescent="0.25">
      <c r="A41" s="104"/>
      <c r="B41" s="104"/>
      <c r="C41" s="104"/>
      <c r="D41" s="104"/>
      <c r="E41" s="104"/>
      <c r="F41" s="104"/>
      <c r="G41" s="104"/>
      <c r="H41" s="104"/>
    </row>
    <row r="42" spans="1:8" x14ac:dyDescent="0.25">
      <c r="A42" s="104"/>
      <c r="B42" s="104"/>
      <c r="C42" s="104"/>
      <c r="D42" s="104"/>
      <c r="E42" s="104"/>
      <c r="F42" s="104"/>
      <c r="G42" s="104"/>
      <c r="H42" s="104"/>
    </row>
    <row r="43" spans="1:8" x14ac:dyDescent="0.25">
      <c r="A43" s="104"/>
      <c r="B43" s="104"/>
      <c r="C43" s="104"/>
      <c r="D43" s="104"/>
      <c r="E43" s="104"/>
      <c r="F43" s="104"/>
      <c r="G43" s="104"/>
      <c r="H43" s="104"/>
    </row>
    <row r="44" spans="1:8" x14ac:dyDescent="0.25">
      <c r="A44" s="104"/>
      <c r="B44" s="104"/>
      <c r="C44" s="104"/>
      <c r="D44" s="104"/>
      <c r="E44" s="104"/>
      <c r="F44" s="104"/>
      <c r="G44" s="104"/>
      <c r="H44" s="104"/>
    </row>
    <row r="45" spans="1:8" x14ac:dyDescent="0.25">
      <c r="A45" s="104"/>
      <c r="B45" s="104"/>
      <c r="C45" s="104"/>
      <c r="D45" s="104"/>
      <c r="E45" s="104"/>
      <c r="F45" s="104"/>
      <c r="G45" s="104"/>
      <c r="H45" s="104"/>
    </row>
    <row r="46" spans="1:8" x14ac:dyDescent="0.25">
      <c r="A46" s="104"/>
      <c r="B46" s="104"/>
      <c r="C46" s="104"/>
      <c r="D46" s="104"/>
      <c r="E46" s="104"/>
      <c r="F46" s="104"/>
      <c r="G46" s="104"/>
      <c r="H46" s="104"/>
    </row>
    <row r="47" spans="1:8" x14ac:dyDescent="0.25">
      <c r="A47" s="104"/>
      <c r="B47" s="104"/>
      <c r="C47" s="104"/>
      <c r="D47" s="104"/>
      <c r="E47" s="104"/>
      <c r="F47" s="104"/>
      <c r="G47" s="104"/>
      <c r="H47" s="104"/>
    </row>
    <row r="48" spans="1:8" x14ac:dyDescent="0.25">
      <c r="A48" s="104"/>
      <c r="B48" s="104"/>
      <c r="C48" s="104"/>
      <c r="D48" s="104"/>
      <c r="E48" s="104"/>
      <c r="F48" s="104"/>
      <c r="G48" s="104"/>
      <c r="H48" s="104"/>
    </row>
    <row r="49" spans="1:8" x14ac:dyDescent="0.25">
      <c r="A49" s="104"/>
      <c r="B49" s="104"/>
      <c r="C49" s="104"/>
      <c r="D49" s="104"/>
      <c r="E49" s="104"/>
      <c r="F49" s="104"/>
      <c r="G49" s="104"/>
      <c r="H49" s="104"/>
    </row>
    <row r="50" spans="1:8" x14ac:dyDescent="0.25">
      <c r="A50" s="104"/>
      <c r="B50" s="104"/>
      <c r="C50" s="104"/>
      <c r="D50" s="104"/>
      <c r="E50" s="104"/>
      <c r="F50" s="104"/>
      <c r="G50" s="104"/>
      <c r="H50" s="104"/>
    </row>
    <row r="51" spans="1:8" x14ac:dyDescent="0.25">
      <c r="A51" s="104"/>
      <c r="B51" s="104"/>
      <c r="C51" s="104"/>
      <c r="D51" s="104"/>
      <c r="E51" s="104"/>
      <c r="F51" s="104"/>
      <c r="G51" s="104"/>
      <c r="H51" s="104"/>
    </row>
    <row r="52" spans="1:8" x14ac:dyDescent="0.25">
      <c r="A52" s="104"/>
      <c r="B52" s="104"/>
      <c r="C52" s="104"/>
      <c r="D52" s="104"/>
      <c r="E52" s="104"/>
      <c r="F52" s="104"/>
      <c r="G52" s="104"/>
      <c r="H52" s="104"/>
    </row>
    <row r="53" spans="1:8" x14ac:dyDescent="0.25">
      <c r="A53" s="104"/>
      <c r="B53" s="104"/>
      <c r="C53" s="104"/>
      <c r="D53" s="104"/>
      <c r="E53" s="104"/>
      <c r="F53" s="104"/>
      <c r="G53" s="104"/>
      <c r="H53" s="104"/>
    </row>
    <row r="54" spans="1:8" x14ac:dyDescent="0.25">
      <c r="A54" s="104"/>
      <c r="B54" s="104"/>
      <c r="C54" s="104"/>
      <c r="D54" s="104"/>
      <c r="E54" s="104"/>
      <c r="F54" s="104"/>
      <c r="G54" s="104"/>
      <c r="H54" s="104"/>
    </row>
    <row r="55" spans="1:8" x14ac:dyDescent="0.25">
      <c r="A55" s="104"/>
      <c r="B55" s="104"/>
      <c r="C55" s="104"/>
      <c r="D55" s="104"/>
      <c r="E55" s="104"/>
      <c r="F55" s="104"/>
      <c r="G55" s="104"/>
      <c r="H55" s="104"/>
    </row>
    <row r="56" spans="1:8" x14ac:dyDescent="0.25">
      <c r="A56" s="104"/>
      <c r="B56" s="104"/>
      <c r="C56" s="104"/>
      <c r="D56" s="104"/>
      <c r="E56" s="104"/>
      <c r="F56" s="104"/>
      <c r="G56" s="104"/>
      <c r="H56" s="104"/>
    </row>
    <row r="57" spans="1:8" x14ac:dyDescent="0.25">
      <c r="A57" s="104"/>
      <c r="B57" s="104"/>
      <c r="C57" s="104"/>
      <c r="D57" s="104"/>
      <c r="E57" s="104"/>
      <c r="F57" s="104"/>
      <c r="G57" s="104"/>
      <c r="H57" s="104"/>
    </row>
    <row r="58" spans="1:8" x14ac:dyDescent="0.25">
      <c r="A58" s="104"/>
      <c r="B58" s="104"/>
      <c r="C58" s="104"/>
      <c r="D58" s="104"/>
      <c r="E58" s="104"/>
      <c r="F58" s="104"/>
      <c r="G58" s="104"/>
      <c r="H58" s="104"/>
    </row>
    <row r="59" spans="1:8" x14ac:dyDescent="0.25">
      <c r="A59" s="104"/>
      <c r="B59" s="104"/>
      <c r="C59" s="104"/>
      <c r="D59" s="104"/>
      <c r="E59" s="104"/>
      <c r="F59" s="104"/>
      <c r="G59" s="104"/>
      <c r="H59" s="104"/>
    </row>
  </sheetData>
  <mergeCells count="3">
    <mergeCell ref="A33:H59"/>
    <mergeCell ref="A1:H1"/>
    <mergeCell ref="A31:F3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4CC0-D79F-4B1B-90FC-05FC8889072D}">
  <dimension ref="A1:D14"/>
  <sheetViews>
    <sheetView workbookViewId="0">
      <selection sqref="A1:D1"/>
    </sheetView>
  </sheetViews>
  <sheetFormatPr baseColWidth="10" defaultRowHeight="15" x14ac:dyDescent="0.25"/>
  <cols>
    <col min="1" max="1" width="14.5703125" customWidth="1"/>
    <col min="2" max="2" width="26.85546875" bestFit="1" customWidth="1"/>
    <col min="3" max="3" width="12" bestFit="1" customWidth="1"/>
    <col min="4" max="4" width="13.7109375" bestFit="1" customWidth="1"/>
  </cols>
  <sheetData>
    <row r="1" spans="1:4" s="153" customFormat="1" x14ac:dyDescent="0.25">
      <c r="A1" s="136" t="s">
        <v>164</v>
      </c>
      <c r="B1" s="136"/>
      <c r="C1" s="136"/>
      <c r="D1" s="136"/>
    </row>
    <row r="2" spans="1:4" s="153" customFormat="1" x14ac:dyDescent="0.25">
      <c r="A2" s="160" t="s">
        <v>166</v>
      </c>
      <c r="B2" s="112" t="s">
        <v>163</v>
      </c>
      <c r="C2" s="113"/>
      <c r="D2" s="114"/>
    </row>
    <row r="3" spans="1:4" s="153" customFormat="1" ht="30" x14ac:dyDescent="0.25">
      <c r="A3" s="161" t="s">
        <v>167</v>
      </c>
      <c r="B3" s="165">
        <v>3.66</v>
      </c>
      <c r="C3" s="166"/>
      <c r="D3" s="167"/>
    </row>
    <row r="4" spans="1:4" s="153" customFormat="1" ht="30" x14ac:dyDescent="0.25">
      <c r="A4" s="161" t="s">
        <v>168</v>
      </c>
      <c r="B4" s="165">
        <v>3.8</v>
      </c>
      <c r="C4" s="166"/>
      <c r="D4" s="167"/>
    </row>
    <row r="5" spans="1:4" s="153" customFormat="1" x14ac:dyDescent="0.25">
      <c r="A5" s="160" t="s">
        <v>169</v>
      </c>
      <c r="B5" s="162">
        <f>+D10/B4</f>
        <v>12.006842105263159</v>
      </c>
      <c r="C5" s="163"/>
      <c r="D5" s="164"/>
    </row>
    <row r="6" spans="1:4" s="153" customFormat="1" x14ac:dyDescent="0.25">
      <c r="A6" s="78"/>
      <c r="B6" s="154"/>
      <c r="C6" s="78"/>
      <c r="D6" s="78"/>
    </row>
    <row r="7" spans="1:4" s="153" customFormat="1" x14ac:dyDescent="0.25">
      <c r="A7" s="136" t="s">
        <v>154</v>
      </c>
      <c r="B7" s="136"/>
      <c r="C7" s="136"/>
      <c r="D7" s="136"/>
    </row>
    <row r="8" spans="1:4" s="151" customFormat="1" x14ac:dyDescent="0.25">
      <c r="A8" s="62" t="s">
        <v>149</v>
      </c>
      <c r="B8" s="62" t="s">
        <v>153</v>
      </c>
      <c r="C8" s="62" t="s">
        <v>115</v>
      </c>
      <c r="D8" s="63" t="s">
        <v>114</v>
      </c>
    </row>
    <row r="9" spans="1:4" x14ac:dyDescent="0.25">
      <c r="A9" s="142" t="s">
        <v>103</v>
      </c>
      <c r="B9" s="148"/>
      <c r="C9" s="144"/>
      <c r="D9" s="145">
        <f>SUM('Agrupación de Recursos'!G4:G7)</f>
        <v>456.26</v>
      </c>
    </row>
    <row r="10" spans="1:4" x14ac:dyDescent="0.25">
      <c r="A10" s="60" t="s">
        <v>123</v>
      </c>
      <c r="B10" s="59" t="s">
        <v>165</v>
      </c>
      <c r="C10" s="150">
        <v>0.1</v>
      </c>
      <c r="D10" s="149">
        <f>+C10*$D$9</f>
        <v>45.626000000000005</v>
      </c>
    </row>
    <row r="11" spans="1:4" x14ac:dyDescent="0.25">
      <c r="A11" s="60" t="s">
        <v>159</v>
      </c>
      <c r="B11" s="59" t="s">
        <v>157</v>
      </c>
      <c r="C11" s="150">
        <v>0.1</v>
      </c>
      <c r="D11" s="149">
        <f>+C11*$D$9</f>
        <v>45.626000000000005</v>
      </c>
    </row>
    <row r="12" spans="1:4" x14ac:dyDescent="0.25">
      <c r="A12" s="60" t="s">
        <v>118</v>
      </c>
      <c r="B12" s="59" t="s">
        <v>155</v>
      </c>
      <c r="C12" s="150">
        <v>0.7</v>
      </c>
      <c r="D12" s="149">
        <f>+C12*$D$9</f>
        <v>319.38199999999995</v>
      </c>
    </row>
    <row r="13" spans="1:4" x14ac:dyDescent="0.25">
      <c r="A13" s="60" t="s">
        <v>158</v>
      </c>
      <c r="B13" s="59" t="s">
        <v>156</v>
      </c>
      <c r="C13" s="150">
        <v>0.1</v>
      </c>
      <c r="D13" s="149">
        <f>+C13*$D$9</f>
        <v>45.626000000000005</v>
      </c>
    </row>
    <row r="14" spans="1:4" x14ac:dyDescent="0.25">
      <c r="A14" s="134" t="s">
        <v>120</v>
      </c>
      <c r="B14" s="133" t="s">
        <v>160</v>
      </c>
      <c r="C14" s="150">
        <v>0</v>
      </c>
      <c r="D14" s="149">
        <f>+C14*$D$9</f>
        <v>0</v>
      </c>
    </row>
  </sheetData>
  <mergeCells count="6">
    <mergeCell ref="A7:D7"/>
    <mergeCell ref="B2:D2"/>
    <mergeCell ref="B3:D3"/>
    <mergeCell ref="B4:D4"/>
    <mergeCell ref="B5:D5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1A3-6791-47C8-8AA5-6211A0242F26}">
  <dimension ref="A1:E41"/>
  <sheetViews>
    <sheetView zoomScaleNormal="100" workbookViewId="0">
      <selection activeCell="A10" sqref="A10"/>
    </sheetView>
  </sheetViews>
  <sheetFormatPr baseColWidth="10" defaultRowHeight="15" x14ac:dyDescent="0.25"/>
  <cols>
    <col min="1" max="1" width="14.5703125" bestFit="1" customWidth="1"/>
    <col min="2" max="2" width="18.42578125" customWidth="1"/>
    <col min="3" max="3" width="50.42578125" bestFit="1" customWidth="1"/>
    <col min="4" max="4" width="12.85546875" bestFit="1" customWidth="1"/>
    <col min="5" max="5" width="11.28515625" bestFit="1" customWidth="1"/>
    <col min="6" max="6" width="12.85546875" bestFit="1" customWidth="1"/>
  </cols>
  <sheetData>
    <row r="1" spans="1:5" x14ac:dyDescent="0.25">
      <c r="A1" s="139" t="s">
        <v>147</v>
      </c>
      <c r="B1" s="139"/>
      <c r="C1" s="139"/>
      <c r="D1" s="139"/>
      <c r="E1" s="139"/>
    </row>
    <row r="2" spans="1:5" s="57" customFormat="1" x14ac:dyDescent="0.25">
      <c r="A2" s="79" t="s">
        <v>149</v>
      </c>
      <c r="B2" s="62" t="s">
        <v>151</v>
      </c>
      <c r="C2" s="62" t="s">
        <v>9</v>
      </c>
      <c r="D2" s="62" t="s">
        <v>114</v>
      </c>
      <c r="E2" s="62" t="s">
        <v>129</v>
      </c>
    </row>
    <row r="3" spans="1:5" x14ac:dyDescent="0.25">
      <c r="A3" s="76" t="s">
        <v>123</v>
      </c>
      <c r="B3" s="69">
        <v>0</v>
      </c>
      <c r="C3" s="70" t="s">
        <v>170</v>
      </c>
      <c r="D3" s="66">
        <f>+'Agrupación de Recursos'!G21+'Agrupación de Recursos'!G22+'Agrupación de Recursos'!G23+'Agrupación de Recursos'!G24+'Agrupación de Recursos'!G25+'Desglose Equipo y Transporte'!D10</f>
        <v>760.35599999999999</v>
      </c>
      <c r="E3" s="65">
        <f t="shared" ref="E3:E11" si="0">ROUND(D3/$D$11,3)</f>
        <v>0.29499999999999998</v>
      </c>
    </row>
    <row r="4" spans="1:5" x14ac:dyDescent="0.25">
      <c r="A4" s="76" t="str">
        <f>+'Desglose Equipo y Transporte'!A11</f>
        <v>C</v>
      </c>
      <c r="B4" s="69">
        <v>28</v>
      </c>
      <c r="C4" s="70" t="s">
        <v>161</v>
      </c>
      <c r="D4" s="66">
        <f>+'Desglose Equipo y Transporte'!D11</f>
        <v>45.626000000000005</v>
      </c>
      <c r="E4" s="65">
        <f t="shared" si="0"/>
        <v>1.7999999999999999E-2</v>
      </c>
    </row>
    <row r="5" spans="1:5" x14ac:dyDescent="0.25">
      <c r="A5" s="76" t="s">
        <v>119</v>
      </c>
      <c r="B5" s="69">
        <v>23</v>
      </c>
      <c r="C5" s="70" t="s">
        <v>124</v>
      </c>
      <c r="D5" s="66">
        <f>+'Agrupación de Recursos'!G9</f>
        <v>147.54</v>
      </c>
      <c r="E5" s="65">
        <f t="shared" si="0"/>
        <v>5.7000000000000002E-2</v>
      </c>
    </row>
    <row r="6" spans="1:5" x14ac:dyDescent="0.25">
      <c r="A6" s="76" t="s">
        <v>118</v>
      </c>
      <c r="B6" s="69">
        <v>37</v>
      </c>
      <c r="C6" s="70" t="s">
        <v>125</v>
      </c>
      <c r="D6" s="66">
        <f>+'Desglose Equipo y Transporte'!D12</f>
        <v>319.38199999999995</v>
      </c>
      <c r="E6" s="65">
        <f t="shared" si="0"/>
        <v>0.124</v>
      </c>
    </row>
    <row r="7" spans="1:5" x14ac:dyDescent="0.25">
      <c r="A7" s="76" t="s">
        <v>121</v>
      </c>
      <c r="B7" s="69">
        <v>53</v>
      </c>
      <c r="C7" s="70" t="s">
        <v>126</v>
      </c>
      <c r="D7" s="66">
        <f>+'Agrupación de Recursos'!G12</f>
        <v>661.38</v>
      </c>
      <c r="E7" s="65">
        <f t="shared" si="0"/>
        <v>0.25700000000000001</v>
      </c>
    </row>
    <row r="8" spans="1:5" x14ac:dyDescent="0.25">
      <c r="A8" s="76" t="s">
        <v>122</v>
      </c>
      <c r="B8" s="69">
        <v>304</v>
      </c>
      <c r="C8" s="70" t="s">
        <v>127</v>
      </c>
      <c r="D8" s="66">
        <f>+'Agrupación de Recursos'!G13+'Agrupación de Recursos'!G14</f>
        <v>187.51</v>
      </c>
      <c r="E8" s="65">
        <f t="shared" si="0"/>
        <v>7.2999999999999995E-2</v>
      </c>
    </row>
    <row r="9" spans="1:5" x14ac:dyDescent="0.25">
      <c r="A9" s="76" t="str">
        <f>+'Desglose Equipo y Transporte'!A13</f>
        <v>R</v>
      </c>
      <c r="B9" s="69">
        <v>83</v>
      </c>
      <c r="C9" s="70" t="s">
        <v>162</v>
      </c>
      <c r="D9" s="66">
        <f>+'Desglose Equipo y Transporte'!D13</f>
        <v>45.626000000000005</v>
      </c>
      <c r="E9" s="65">
        <f t="shared" si="0"/>
        <v>1.7999999999999999E-2</v>
      </c>
    </row>
    <row r="10" spans="1:5" x14ac:dyDescent="0.25">
      <c r="A10" s="76" t="s">
        <v>120</v>
      </c>
      <c r="B10" s="69">
        <v>822</v>
      </c>
      <c r="C10" s="70" t="s">
        <v>128</v>
      </c>
      <c r="D10" s="66">
        <f>+'Agrupación de Recursos'!G10+'Agrupación de Recursos'!G11+'Desglose Equipo y Transporte'!D14</f>
        <v>406.54999999999995</v>
      </c>
      <c r="E10" s="65">
        <f t="shared" si="0"/>
        <v>0.158</v>
      </c>
    </row>
    <row r="11" spans="1:5" x14ac:dyDescent="0.25">
      <c r="A11" s="105" t="s">
        <v>135</v>
      </c>
      <c r="B11" s="105"/>
      <c r="C11" s="105"/>
      <c r="D11" s="64">
        <f>SUM(D3:D10)</f>
        <v>2573.9700000000003</v>
      </c>
      <c r="E11" s="73">
        <f t="shared" si="0"/>
        <v>1</v>
      </c>
    </row>
    <row r="13" spans="1:5" ht="30.75" customHeight="1" x14ac:dyDescent="0.25">
      <c r="A13" s="104" t="s">
        <v>137</v>
      </c>
      <c r="B13" s="104"/>
      <c r="C13" s="104"/>
      <c r="D13" s="104"/>
      <c r="E13" s="104"/>
    </row>
    <row r="14" spans="1:5" x14ac:dyDescent="0.25">
      <c r="A14" s="104"/>
      <c r="B14" s="104"/>
      <c r="C14" s="104"/>
      <c r="D14" s="104"/>
      <c r="E14" s="104"/>
    </row>
    <row r="15" spans="1:5" x14ac:dyDescent="0.25">
      <c r="A15" s="104"/>
      <c r="B15" s="104"/>
      <c r="C15" s="104"/>
      <c r="D15" s="104"/>
      <c r="E15" s="104"/>
    </row>
    <row r="16" spans="1:5" x14ac:dyDescent="0.25">
      <c r="A16" s="104"/>
      <c r="B16" s="104"/>
      <c r="C16" s="104"/>
      <c r="D16" s="104"/>
      <c r="E16" s="104"/>
    </row>
    <row r="17" spans="1:5" x14ac:dyDescent="0.25">
      <c r="A17" s="104"/>
      <c r="B17" s="104"/>
      <c r="C17" s="104"/>
      <c r="D17" s="104"/>
      <c r="E17" s="104"/>
    </row>
    <row r="18" spans="1:5" x14ac:dyDescent="0.25">
      <c r="A18" s="104"/>
      <c r="B18" s="104"/>
      <c r="C18" s="104"/>
      <c r="D18" s="104"/>
      <c r="E18" s="104"/>
    </row>
    <row r="19" spans="1:5" x14ac:dyDescent="0.25">
      <c r="A19" s="104"/>
      <c r="B19" s="104"/>
      <c r="C19" s="104"/>
      <c r="D19" s="104"/>
      <c r="E19" s="104"/>
    </row>
    <row r="20" spans="1:5" x14ac:dyDescent="0.25">
      <c r="A20" s="104"/>
      <c r="B20" s="104"/>
      <c r="C20" s="104"/>
      <c r="D20" s="104"/>
      <c r="E20" s="104"/>
    </row>
    <row r="21" spans="1:5" x14ac:dyDescent="0.25">
      <c r="A21" s="104"/>
      <c r="B21" s="104"/>
      <c r="C21" s="104"/>
      <c r="D21" s="104"/>
      <c r="E21" s="104"/>
    </row>
    <row r="22" spans="1:5" x14ac:dyDescent="0.25">
      <c r="A22" s="104"/>
      <c r="B22" s="104"/>
      <c r="C22" s="104"/>
      <c r="D22" s="104"/>
      <c r="E22" s="104"/>
    </row>
    <row r="23" spans="1:5" x14ac:dyDescent="0.25">
      <c r="A23" s="104"/>
      <c r="B23" s="104"/>
      <c r="C23" s="104"/>
      <c r="D23" s="104"/>
      <c r="E23" s="104"/>
    </row>
    <row r="24" spans="1:5" x14ac:dyDescent="0.25">
      <c r="A24" s="104"/>
      <c r="B24" s="104"/>
      <c r="C24" s="104"/>
      <c r="D24" s="104"/>
      <c r="E24" s="104"/>
    </row>
    <row r="25" spans="1:5" x14ac:dyDescent="0.25">
      <c r="A25" s="104"/>
      <c r="B25" s="104"/>
      <c r="C25" s="104"/>
      <c r="D25" s="104"/>
      <c r="E25" s="104"/>
    </row>
    <row r="26" spans="1:5" x14ac:dyDescent="0.25">
      <c r="A26" s="104"/>
      <c r="B26" s="104"/>
      <c r="C26" s="104"/>
      <c r="D26" s="104"/>
      <c r="E26" s="104"/>
    </row>
    <row r="27" spans="1:5" x14ac:dyDescent="0.25">
      <c r="A27" s="104"/>
      <c r="B27" s="104"/>
      <c r="C27" s="104"/>
      <c r="D27" s="104"/>
      <c r="E27" s="104"/>
    </row>
    <row r="28" spans="1:5" x14ac:dyDescent="0.25">
      <c r="A28" s="104"/>
      <c r="B28" s="104"/>
      <c r="C28" s="104"/>
      <c r="D28" s="104"/>
      <c r="E28" s="104"/>
    </row>
    <row r="29" spans="1:5" x14ac:dyDescent="0.25">
      <c r="A29" s="104"/>
      <c r="B29" s="104"/>
      <c r="C29" s="104"/>
      <c r="D29" s="104"/>
      <c r="E29" s="104"/>
    </row>
    <row r="30" spans="1:5" x14ac:dyDescent="0.25">
      <c r="A30" s="104"/>
      <c r="B30" s="104"/>
      <c r="C30" s="104"/>
      <c r="D30" s="104"/>
      <c r="E30" s="104"/>
    </row>
    <row r="31" spans="1:5" x14ac:dyDescent="0.25">
      <c r="A31" s="104"/>
      <c r="B31" s="104"/>
      <c r="C31" s="104"/>
      <c r="D31" s="104"/>
      <c r="E31" s="104"/>
    </row>
    <row r="32" spans="1:5" x14ac:dyDescent="0.25">
      <c r="A32" s="104"/>
      <c r="B32" s="104"/>
      <c r="C32" s="104"/>
      <c r="D32" s="104"/>
      <c r="E32" s="104"/>
    </row>
    <row r="33" spans="1:5" x14ac:dyDescent="0.25">
      <c r="A33" s="104"/>
      <c r="B33" s="104"/>
      <c r="C33" s="104"/>
      <c r="D33" s="104"/>
      <c r="E33" s="104"/>
    </row>
    <row r="34" spans="1:5" x14ac:dyDescent="0.25">
      <c r="A34" s="104"/>
      <c r="B34" s="104"/>
      <c r="C34" s="104"/>
      <c r="D34" s="104"/>
      <c r="E34" s="104"/>
    </row>
    <row r="35" spans="1:5" x14ac:dyDescent="0.25">
      <c r="A35" s="104"/>
      <c r="B35" s="104"/>
      <c r="C35" s="104"/>
      <c r="D35" s="104"/>
      <c r="E35" s="104"/>
    </row>
    <row r="36" spans="1:5" x14ac:dyDescent="0.25">
      <c r="A36" s="104"/>
      <c r="B36" s="104"/>
      <c r="C36" s="104"/>
      <c r="D36" s="104"/>
      <c r="E36" s="104"/>
    </row>
    <row r="37" spans="1:5" x14ac:dyDescent="0.25">
      <c r="A37" s="104"/>
      <c r="B37" s="104"/>
      <c r="C37" s="104"/>
      <c r="D37" s="104"/>
      <c r="E37" s="104"/>
    </row>
    <row r="38" spans="1:5" x14ac:dyDescent="0.25">
      <c r="A38" s="104"/>
      <c r="B38" s="104"/>
      <c r="C38" s="104"/>
      <c r="D38" s="104"/>
      <c r="E38" s="104"/>
    </row>
    <row r="39" spans="1:5" x14ac:dyDescent="0.25">
      <c r="A39" s="104"/>
      <c r="B39" s="104"/>
      <c r="C39" s="104"/>
      <c r="D39" s="104"/>
      <c r="E39" s="104"/>
    </row>
    <row r="40" spans="1:5" x14ac:dyDescent="0.25">
      <c r="A40" s="104"/>
      <c r="B40" s="104"/>
      <c r="C40" s="104"/>
      <c r="D40" s="104"/>
      <c r="E40" s="104"/>
    </row>
    <row r="41" spans="1:5" x14ac:dyDescent="0.25">
      <c r="A41" s="104"/>
      <c r="B41" s="104"/>
      <c r="C41" s="104"/>
      <c r="D41" s="104"/>
      <c r="E41" s="104"/>
    </row>
  </sheetData>
  <mergeCells count="3">
    <mergeCell ref="A11:C11"/>
    <mergeCell ref="A13:E41"/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D2A0-2FA9-4BE9-8513-7CC6F8120411}">
  <dimension ref="A1:J36"/>
  <sheetViews>
    <sheetView workbookViewId="0">
      <selection sqref="A1:I1"/>
    </sheetView>
  </sheetViews>
  <sheetFormatPr baseColWidth="10" defaultRowHeight="15" x14ac:dyDescent="0.25"/>
  <cols>
    <col min="1" max="1" width="14.5703125" bestFit="1" customWidth="1"/>
    <col min="2" max="2" width="16.42578125" bestFit="1" customWidth="1"/>
    <col min="3" max="3" width="34.140625" customWidth="1"/>
    <col min="4" max="4" width="37.28515625" bestFit="1" customWidth="1"/>
    <col min="5" max="5" width="19.140625" bestFit="1" customWidth="1"/>
    <col min="6" max="6" width="15.85546875" bestFit="1" customWidth="1"/>
    <col min="7" max="7" width="9" bestFit="1" customWidth="1"/>
    <col min="8" max="8" width="12.85546875" bestFit="1" customWidth="1"/>
    <col min="9" max="9" width="11.28515625" bestFit="1" customWidth="1"/>
  </cols>
  <sheetData>
    <row r="1" spans="1:10" x14ac:dyDescent="0.25">
      <c r="A1" s="140" t="s">
        <v>146</v>
      </c>
      <c r="B1" s="140"/>
      <c r="C1" s="140"/>
      <c r="D1" s="140"/>
      <c r="E1" s="140"/>
      <c r="F1" s="140"/>
      <c r="G1" s="140"/>
      <c r="H1" s="140"/>
      <c r="I1" s="140"/>
    </row>
    <row r="2" spans="1:10" s="57" customFormat="1" ht="30" x14ac:dyDescent="0.25">
      <c r="A2" s="62" t="s">
        <v>149</v>
      </c>
      <c r="B2" s="62" t="s">
        <v>151</v>
      </c>
      <c r="C2" s="62" t="s">
        <v>9</v>
      </c>
      <c r="D2" s="62" t="s">
        <v>148</v>
      </c>
      <c r="E2" s="71" t="s">
        <v>141</v>
      </c>
      <c r="F2" s="71" t="s">
        <v>142</v>
      </c>
      <c r="G2" s="71" t="s">
        <v>143</v>
      </c>
      <c r="H2" s="71" t="s">
        <v>114</v>
      </c>
      <c r="I2" s="62" t="s">
        <v>129</v>
      </c>
    </row>
    <row r="3" spans="1:10" x14ac:dyDescent="0.25">
      <c r="A3" s="68" t="s">
        <v>123</v>
      </c>
      <c r="B3" s="69">
        <v>1010</v>
      </c>
      <c r="C3" s="70" t="s">
        <v>131</v>
      </c>
      <c r="D3" s="59" t="s">
        <v>131</v>
      </c>
      <c r="E3" s="61">
        <v>3.26</v>
      </c>
      <c r="F3" s="61">
        <v>3.46</v>
      </c>
      <c r="G3" s="60">
        <f>+'Agrupación de Recursos'!F21</f>
        <v>72.743399999999994</v>
      </c>
      <c r="H3" s="74">
        <f>+'Agrupación de Recursos'!G21</f>
        <v>251.69</v>
      </c>
      <c r="I3" s="75">
        <f>ROUND(H3/$H$8,4)</f>
        <v>0.33100000000000002</v>
      </c>
    </row>
    <row r="4" spans="1:10" x14ac:dyDescent="0.25">
      <c r="A4" s="68" t="s">
        <v>123</v>
      </c>
      <c r="B4" s="69">
        <v>1020</v>
      </c>
      <c r="C4" s="70" t="s">
        <v>132</v>
      </c>
      <c r="D4" s="59" t="s">
        <v>132</v>
      </c>
      <c r="E4" s="61">
        <v>3.3</v>
      </c>
      <c r="F4" s="61">
        <v>4.29</v>
      </c>
      <c r="G4" s="60">
        <f>+'Agrupación de Recursos'!F22</f>
        <v>67.713700000000003</v>
      </c>
      <c r="H4" s="74">
        <f>+'Agrupación de Recursos'!G22</f>
        <v>290.49</v>
      </c>
      <c r="I4" s="75">
        <f t="shared" ref="I4:I7" si="0">ROUND(H4/$H$8,4)</f>
        <v>0.38200000000000001</v>
      </c>
    </row>
    <row r="5" spans="1:10" x14ac:dyDescent="0.25">
      <c r="A5" s="68" t="s">
        <v>123</v>
      </c>
      <c r="B5" s="69">
        <v>1030</v>
      </c>
      <c r="C5" s="70" t="s">
        <v>133</v>
      </c>
      <c r="D5" s="59" t="s">
        <v>133</v>
      </c>
      <c r="E5" s="61">
        <v>3.66</v>
      </c>
      <c r="F5" s="61">
        <v>5.1100000000000003</v>
      </c>
      <c r="G5" s="60">
        <f>+'Agrupación de Recursos'!F23</f>
        <v>14.0555</v>
      </c>
      <c r="H5" s="74">
        <f>+'Agrupación de Recursos'!G23</f>
        <v>71.819999999999993</v>
      </c>
      <c r="I5" s="75">
        <f t="shared" si="0"/>
        <v>9.4500000000000001E-2</v>
      </c>
    </row>
    <row r="6" spans="1:10" x14ac:dyDescent="0.25">
      <c r="A6" s="68" t="s">
        <v>123</v>
      </c>
      <c r="B6" s="69">
        <v>1030</v>
      </c>
      <c r="C6" s="70" t="s">
        <v>133</v>
      </c>
      <c r="D6" s="59" t="s">
        <v>163</v>
      </c>
      <c r="E6" s="61">
        <v>3.66</v>
      </c>
      <c r="F6" s="61">
        <v>3.8</v>
      </c>
      <c r="G6" s="157">
        <f>+'Agrupación de Recursos'!F24+'Desglose Equipo y Transporte'!B5</f>
        <v>12.105042105263159</v>
      </c>
      <c r="H6" s="152">
        <f>+'Agrupación de Recursos'!G24+'Desglose Equipo y Transporte'!D10</f>
        <v>45.996000000000002</v>
      </c>
      <c r="I6" s="75">
        <f t="shared" si="0"/>
        <v>6.0499999999999998E-2</v>
      </c>
    </row>
    <row r="7" spans="1:10" x14ac:dyDescent="0.25">
      <c r="A7" s="68" t="s">
        <v>123</v>
      </c>
      <c r="B7" s="69">
        <v>1145</v>
      </c>
      <c r="C7" s="70" t="s">
        <v>134</v>
      </c>
      <c r="D7" s="59" t="s">
        <v>134</v>
      </c>
      <c r="E7" s="61">
        <v>4.79</v>
      </c>
      <c r="F7" s="61">
        <v>5</v>
      </c>
      <c r="G7" s="60">
        <f>+'Agrupación de Recursos'!F25</f>
        <v>20.072800000000001</v>
      </c>
      <c r="H7" s="74">
        <f>+'Agrupación de Recursos'!G25</f>
        <v>100.36</v>
      </c>
      <c r="I7" s="75">
        <f t="shared" si="0"/>
        <v>0.13200000000000001</v>
      </c>
    </row>
    <row r="8" spans="1:10" x14ac:dyDescent="0.25">
      <c r="A8" s="105" t="s">
        <v>135</v>
      </c>
      <c r="B8" s="105"/>
      <c r="C8" s="105"/>
      <c r="D8" s="105"/>
      <c r="E8" s="105"/>
      <c r="F8" s="105"/>
      <c r="G8" s="62">
        <f>SUM(G3:G7)</f>
        <v>186.69044210526314</v>
      </c>
      <c r="H8" s="77">
        <f>SUM(H3:H7)</f>
        <v>760.35599999999999</v>
      </c>
      <c r="I8" s="75">
        <f>SUM(I3:I7)</f>
        <v>1</v>
      </c>
      <c r="J8" s="56"/>
    </row>
    <row r="10" spans="1:10" ht="15" customHeight="1" x14ac:dyDescent="0.25">
      <c r="A10" s="106" t="s">
        <v>138</v>
      </c>
      <c r="B10" s="106"/>
      <c r="C10" s="106"/>
      <c r="D10" s="106"/>
      <c r="E10" s="106"/>
      <c r="F10" s="106"/>
      <c r="G10" s="106"/>
      <c r="H10" s="106"/>
      <c r="I10" s="106"/>
    </row>
    <row r="11" spans="1:10" x14ac:dyDescent="0.25">
      <c r="A11" s="106"/>
      <c r="B11" s="106"/>
      <c r="C11" s="106"/>
      <c r="D11" s="106"/>
      <c r="E11" s="106"/>
      <c r="F11" s="106"/>
      <c r="G11" s="106"/>
      <c r="H11" s="106"/>
      <c r="I11" s="106"/>
    </row>
    <row r="12" spans="1:10" x14ac:dyDescent="0.25">
      <c r="A12" s="106"/>
      <c r="B12" s="106"/>
      <c r="C12" s="106"/>
      <c r="D12" s="106"/>
      <c r="E12" s="106"/>
      <c r="F12" s="106"/>
      <c r="G12" s="106"/>
      <c r="H12" s="106"/>
      <c r="I12" s="106"/>
    </row>
    <row r="13" spans="1:10" x14ac:dyDescent="0.25">
      <c r="A13" s="106"/>
      <c r="B13" s="106"/>
      <c r="C13" s="106"/>
      <c r="D13" s="106"/>
      <c r="E13" s="106"/>
      <c r="F13" s="106"/>
      <c r="G13" s="106"/>
      <c r="H13" s="106"/>
      <c r="I13" s="106"/>
    </row>
    <row r="14" spans="1:10" x14ac:dyDescent="0.25">
      <c r="A14" s="106"/>
      <c r="B14" s="106"/>
      <c r="C14" s="106"/>
      <c r="D14" s="106"/>
      <c r="E14" s="106"/>
      <c r="F14" s="106"/>
      <c r="G14" s="106"/>
      <c r="H14" s="106"/>
      <c r="I14" s="106"/>
    </row>
    <row r="15" spans="1:10" x14ac:dyDescent="0.25">
      <c r="A15" s="106"/>
      <c r="B15" s="106"/>
      <c r="C15" s="106"/>
      <c r="D15" s="106"/>
      <c r="E15" s="106"/>
      <c r="F15" s="106"/>
      <c r="G15" s="106"/>
      <c r="H15" s="106"/>
      <c r="I15" s="106"/>
    </row>
    <row r="16" spans="1:10" x14ac:dyDescent="0.25">
      <c r="A16" s="106"/>
      <c r="B16" s="106"/>
      <c r="C16" s="106"/>
      <c r="D16" s="106"/>
      <c r="E16" s="106"/>
      <c r="F16" s="106"/>
      <c r="G16" s="106"/>
      <c r="H16" s="106"/>
      <c r="I16" s="106"/>
    </row>
    <row r="17" spans="1:9" x14ac:dyDescent="0.25">
      <c r="A17" s="106"/>
      <c r="B17" s="106"/>
      <c r="C17" s="106"/>
      <c r="D17" s="106"/>
      <c r="E17" s="106"/>
      <c r="F17" s="106"/>
      <c r="G17" s="106"/>
      <c r="H17" s="106"/>
      <c r="I17" s="106"/>
    </row>
    <row r="18" spans="1:9" x14ac:dyDescent="0.25">
      <c r="A18" s="106"/>
      <c r="B18" s="106"/>
      <c r="C18" s="106"/>
      <c r="D18" s="106"/>
      <c r="E18" s="106"/>
      <c r="F18" s="106"/>
      <c r="G18" s="106"/>
      <c r="H18" s="106"/>
      <c r="I18" s="106"/>
    </row>
    <row r="19" spans="1:9" x14ac:dyDescent="0.25">
      <c r="A19" s="106"/>
      <c r="B19" s="106"/>
      <c r="C19" s="106"/>
      <c r="D19" s="106"/>
      <c r="E19" s="106"/>
      <c r="F19" s="106"/>
      <c r="G19" s="106"/>
      <c r="H19" s="106"/>
      <c r="I19" s="106"/>
    </row>
    <row r="20" spans="1:9" x14ac:dyDescent="0.25">
      <c r="A20" s="106"/>
      <c r="B20" s="106"/>
      <c r="C20" s="106"/>
      <c r="D20" s="106"/>
      <c r="E20" s="106"/>
      <c r="F20" s="106"/>
      <c r="G20" s="106"/>
      <c r="H20" s="106"/>
      <c r="I20" s="106"/>
    </row>
    <row r="21" spans="1:9" x14ac:dyDescent="0.25">
      <c r="A21" s="106"/>
      <c r="B21" s="106"/>
      <c r="C21" s="106"/>
      <c r="D21" s="106"/>
      <c r="E21" s="106"/>
      <c r="F21" s="106"/>
      <c r="G21" s="106"/>
      <c r="H21" s="106"/>
      <c r="I21" s="106"/>
    </row>
    <row r="22" spans="1:9" x14ac:dyDescent="0.25">
      <c r="A22" s="106"/>
      <c r="B22" s="106"/>
      <c r="C22" s="106"/>
      <c r="D22" s="106"/>
      <c r="E22" s="106"/>
      <c r="F22" s="106"/>
      <c r="G22" s="106"/>
      <c r="H22" s="106"/>
      <c r="I22" s="106"/>
    </row>
    <row r="23" spans="1:9" x14ac:dyDescent="0.25">
      <c r="A23" s="106"/>
      <c r="B23" s="106"/>
      <c r="C23" s="106"/>
      <c r="D23" s="106"/>
      <c r="E23" s="106"/>
      <c r="F23" s="106"/>
      <c r="G23" s="106"/>
      <c r="H23" s="106"/>
      <c r="I23" s="106"/>
    </row>
    <row r="24" spans="1:9" x14ac:dyDescent="0.25">
      <c r="A24" s="106"/>
      <c r="B24" s="106"/>
      <c r="C24" s="106"/>
      <c r="D24" s="106"/>
      <c r="E24" s="106"/>
      <c r="F24" s="106"/>
      <c r="G24" s="106"/>
      <c r="H24" s="106"/>
      <c r="I24" s="106"/>
    </row>
    <row r="25" spans="1:9" x14ac:dyDescent="0.25">
      <c r="A25" s="106"/>
      <c r="B25" s="106"/>
      <c r="C25" s="106"/>
      <c r="D25" s="106"/>
      <c r="E25" s="106"/>
      <c r="F25" s="106"/>
      <c r="G25" s="106"/>
      <c r="H25" s="106"/>
      <c r="I25" s="106"/>
    </row>
    <row r="26" spans="1:9" x14ac:dyDescent="0.25">
      <c r="A26" s="106"/>
      <c r="B26" s="106"/>
      <c r="C26" s="106"/>
      <c r="D26" s="106"/>
      <c r="E26" s="106"/>
      <c r="F26" s="106"/>
      <c r="G26" s="106"/>
      <c r="H26" s="106"/>
      <c r="I26" s="106"/>
    </row>
    <row r="27" spans="1:9" x14ac:dyDescent="0.25">
      <c r="A27" s="106"/>
      <c r="B27" s="106"/>
      <c r="C27" s="106"/>
      <c r="D27" s="106"/>
      <c r="E27" s="106"/>
      <c r="F27" s="106"/>
      <c r="G27" s="106"/>
      <c r="H27" s="106"/>
      <c r="I27" s="106"/>
    </row>
    <row r="28" spans="1:9" x14ac:dyDescent="0.25">
      <c r="A28" s="106"/>
      <c r="B28" s="106"/>
      <c r="C28" s="106"/>
      <c r="D28" s="106"/>
      <c r="E28" s="106"/>
      <c r="F28" s="106"/>
      <c r="G28" s="106"/>
      <c r="H28" s="106"/>
      <c r="I28" s="106"/>
    </row>
    <row r="29" spans="1:9" x14ac:dyDescent="0.25">
      <c r="A29" s="106"/>
      <c r="B29" s="106"/>
      <c r="C29" s="106"/>
      <c r="D29" s="106"/>
      <c r="E29" s="106"/>
      <c r="F29" s="106"/>
      <c r="G29" s="106"/>
      <c r="H29" s="106"/>
      <c r="I29" s="106"/>
    </row>
    <row r="30" spans="1:9" x14ac:dyDescent="0.25">
      <c r="A30" s="106"/>
      <c r="B30" s="106"/>
      <c r="C30" s="106"/>
      <c r="D30" s="106"/>
      <c r="E30" s="106"/>
      <c r="F30" s="106"/>
      <c r="G30" s="106"/>
      <c r="H30" s="106"/>
      <c r="I30" s="106"/>
    </row>
    <row r="31" spans="1:9" x14ac:dyDescent="0.25">
      <c r="A31" s="106"/>
      <c r="B31" s="106"/>
      <c r="C31" s="106"/>
      <c r="D31" s="106"/>
      <c r="E31" s="106"/>
      <c r="F31" s="106"/>
      <c r="G31" s="106"/>
      <c r="H31" s="106"/>
      <c r="I31" s="106"/>
    </row>
    <row r="32" spans="1:9" x14ac:dyDescent="0.25">
      <c r="A32" s="106"/>
      <c r="B32" s="106"/>
      <c r="C32" s="106"/>
      <c r="D32" s="106"/>
      <c r="E32" s="106"/>
      <c r="F32" s="106"/>
      <c r="G32" s="106"/>
      <c r="H32" s="106"/>
      <c r="I32" s="106"/>
    </row>
    <row r="33" spans="1:9" x14ac:dyDescent="0.25">
      <c r="A33" s="106"/>
      <c r="B33" s="106"/>
      <c r="C33" s="106"/>
      <c r="D33" s="106"/>
      <c r="E33" s="106"/>
      <c r="F33" s="106"/>
      <c r="G33" s="106"/>
      <c r="H33" s="106"/>
      <c r="I33" s="106"/>
    </row>
    <row r="34" spans="1:9" x14ac:dyDescent="0.25">
      <c r="A34" s="106"/>
      <c r="B34" s="106"/>
      <c r="C34" s="106"/>
      <c r="D34" s="106"/>
      <c r="E34" s="106"/>
      <c r="F34" s="106"/>
      <c r="G34" s="106"/>
      <c r="H34" s="106"/>
      <c r="I34" s="106"/>
    </row>
    <row r="35" spans="1:9" x14ac:dyDescent="0.25">
      <c r="A35" s="106"/>
      <c r="B35" s="106"/>
      <c r="C35" s="106"/>
      <c r="D35" s="106"/>
      <c r="E35" s="106"/>
      <c r="F35" s="106"/>
      <c r="G35" s="106"/>
      <c r="H35" s="106"/>
      <c r="I35" s="106"/>
    </row>
    <row r="36" spans="1:9" x14ac:dyDescent="0.25">
      <c r="A36" s="106"/>
      <c r="B36" s="106"/>
      <c r="C36" s="106"/>
      <c r="D36" s="106"/>
      <c r="E36" s="106"/>
      <c r="F36" s="106"/>
      <c r="G36" s="106"/>
      <c r="H36" s="106"/>
      <c r="I36" s="106"/>
    </row>
  </sheetData>
  <mergeCells count="3">
    <mergeCell ref="A10:I36"/>
    <mergeCell ref="A8:F8"/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BECB-86A5-4BE8-BCCC-F4FBF3743779}">
  <dimension ref="A1:K27"/>
  <sheetViews>
    <sheetView workbookViewId="0">
      <selection sqref="A1:H1"/>
    </sheetView>
  </sheetViews>
  <sheetFormatPr baseColWidth="10" defaultRowHeight="15" x14ac:dyDescent="0.25"/>
  <cols>
    <col min="1" max="1" width="14.85546875" customWidth="1"/>
    <col min="2" max="2" width="15.7109375" bestFit="1" customWidth="1"/>
    <col min="3" max="3" width="30.42578125" bestFit="1" customWidth="1"/>
    <col min="4" max="4" width="7.42578125" customWidth="1"/>
    <col min="5" max="5" width="7.140625" customWidth="1"/>
    <col min="6" max="6" width="12.5703125" bestFit="1" customWidth="1"/>
    <col min="7" max="7" width="12.85546875" bestFit="1" customWidth="1"/>
    <col min="8" max="8" width="11.28515625" bestFit="1" customWidth="1"/>
    <col min="9" max="9" width="12.5703125" bestFit="1" customWidth="1"/>
    <col min="10" max="10" width="12.85546875" bestFit="1" customWidth="1"/>
  </cols>
  <sheetData>
    <row r="1" spans="1:11" x14ac:dyDescent="0.25">
      <c r="A1" s="107" t="s">
        <v>152</v>
      </c>
      <c r="B1" s="107"/>
      <c r="C1" s="107"/>
      <c r="D1" s="107"/>
      <c r="E1" s="107"/>
      <c r="F1" s="107"/>
      <c r="G1" s="107"/>
      <c r="H1" s="107"/>
      <c r="I1" s="130"/>
      <c r="J1" s="130"/>
      <c r="K1" s="130"/>
    </row>
    <row r="3" spans="1:11" x14ac:dyDescent="0.25">
      <c r="A3" s="62" t="s">
        <v>149</v>
      </c>
      <c r="B3" s="62" t="s">
        <v>151</v>
      </c>
      <c r="C3" s="109" t="s">
        <v>9</v>
      </c>
      <c r="D3" s="110"/>
      <c r="E3" s="110"/>
      <c r="F3" s="111"/>
      <c r="G3" s="62" t="s">
        <v>114</v>
      </c>
      <c r="H3" s="62" t="s">
        <v>129</v>
      </c>
    </row>
    <row r="4" spans="1:11" x14ac:dyDescent="0.25">
      <c r="A4" s="119" t="str">
        <f>+'Indices y Coeficientes'!A3</f>
        <v>B</v>
      </c>
      <c r="B4" s="120">
        <f>+'Indices y Coeficientes'!B3</f>
        <v>0</v>
      </c>
      <c r="C4" s="121" t="str">
        <f>+'Indices y Coeficientes'!C3</f>
        <v>Cuadrilla Tipo (incluye Mecánico de Mantenimiento)</v>
      </c>
      <c r="D4" s="122"/>
      <c r="E4" s="122"/>
      <c r="F4" s="123"/>
      <c r="G4" s="124">
        <f>+'Indices y Coeficientes'!D3</f>
        <v>760.35599999999999</v>
      </c>
      <c r="H4" s="125">
        <f>+'Indices y Coeficientes'!E3</f>
        <v>0.29499999999999998</v>
      </c>
    </row>
    <row r="5" spans="1:11" x14ac:dyDescent="0.25">
      <c r="A5" s="119" t="str">
        <f>+'Indices y Coeficientes'!A4</f>
        <v>C</v>
      </c>
      <c r="B5" s="120">
        <f>+'Indices y Coeficientes'!B4</f>
        <v>28</v>
      </c>
      <c r="C5" s="121" t="str">
        <f>+'Indices y Coeficientes'!C4</f>
        <v>Combustibles (O)</v>
      </c>
      <c r="D5" s="122"/>
      <c r="E5" s="122"/>
      <c r="F5" s="123"/>
      <c r="G5" s="124">
        <f>+'Indices y Coeficientes'!D4</f>
        <v>45.626000000000005</v>
      </c>
      <c r="H5" s="125">
        <f>+'Indices y Coeficientes'!E4</f>
        <v>1.7999999999999999E-2</v>
      </c>
    </row>
    <row r="6" spans="1:11" x14ac:dyDescent="0.25">
      <c r="A6" s="119" t="str">
        <f>+'Indices y Coeficientes'!A5</f>
        <v>D</v>
      </c>
      <c r="B6" s="120">
        <f>+'Indices y Coeficientes'!B5</f>
        <v>23</v>
      </c>
      <c r="C6" s="121" t="str">
        <f>+'Indices y Coeficientes'!C5</f>
        <v>Cemento Portland - Tipo I - Sacos</v>
      </c>
      <c r="D6" s="122"/>
      <c r="E6" s="122"/>
      <c r="F6" s="123"/>
      <c r="G6" s="124">
        <f>+'Indices y Coeficientes'!D5</f>
        <v>147.54</v>
      </c>
      <c r="H6" s="125">
        <f>+'Indices y Coeficientes'!E5</f>
        <v>5.7000000000000002E-2</v>
      </c>
    </row>
    <row r="7" spans="1:11" x14ac:dyDescent="0.25">
      <c r="A7" s="119" t="str">
        <f>+'Indices y Coeficientes'!A6</f>
        <v>E</v>
      </c>
      <c r="B7" s="120">
        <f>+'Indices y Coeficientes'!B6</f>
        <v>37</v>
      </c>
      <c r="C7" s="121" t="str">
        <f>+'Indices y Coeficientes'!C6</f>
        <v>Equipo y maquinaria de Construc. Vial</v>
      </c>
      <c r="D7" s="122"/>
      <c r="E7" s="122"/>
      <c r="F7" s="123"/>
      <c r="G7" s="124">
        <f>+'Indices y Coeficientes'!D6</f>
        <v>319.38199999999995</v>
      </c>
      <c r="H7" s="125">
        <f>+'Indices y Coeficientes'!E6</f>
        <v>0.124</v>
      </c>
    </row>
    <row r="8" spans="1:11" x14ac:dyDescent="0.25">
      <c r="A8" s="119" t="str">
        <f>+'Indices y Coeficientes'!A7</f>
        <v>M</v>
      </c>
      <c r="B8" s="120">
        <f>+'Indices y Coeficientes'!B7</f>
        <v>53</v>
      </c>
      <c r="C8" s="121" t="str">
        <f>+'Indices y Coeficientes'!C7</f>
        <v>Madera aserrada, cepillada y/o escuadrada (preparada)</v>
      </c>
      <c r="D8" s="122"/>
      <c r="E8" s="122"/>
      <c r="F8" s="123"/>
      <c r="G8" s="124">
        <f>+'Indices y Coeficientes'!D7</f>
        <v>661.38</v>
      </c>
      <c r="H8" s="125">
        <f>+'Indices y Coeficientes'!E7</f>
        <v>0.25700000000000001</v>
      </c>
    </row>
    <row r="9" spans="1:11" x14ac:dyDescent="0.25">
      <c r="A9" s="119" t="str">
        <f>+'Indices y Coeficientes'!A8</f>
        <v>P</v>
      </c>
      <c r="B9" s="120">
        <f>+'Indices y Coeficientes'!B8</f>
        <v>304</v>
      </c>
      <c r="C9" s="121" t="str">
        <f>+'Indices y Coeficientes'!C8</f>
        <v>Materiales pétreos (Azuay)</v>
      </c>
      <c r="D9" s="122"/>
      <c r="E9" s="122"/>
      <c r="F9" s="123"/>
      <c r="G9" s="124">
        <f>+'Indices y Coeficientes'!D8</f>
        <v>187.51</v>
      </c>
      <c r="H9" s="125">
        <f>+'Indices y Coeficientes'!E8</f>
        <v>7.2999999999999995E-2</v>
      </c>
    </row>
    <row r="10" spans="1:11" x14ac:dyDescent="0.25">
      <c r="A10" s="119" t="str">
        <f>+'Indices y Coeficientes'!A9</f>
        <v>R</v>
      </c>
      <c r="B10" s="120">
        <f>+'Indices y Coeficientes'!B9</f>
        <v>83</v>
      </c>
      <c r="C10" s="121" t="str">
        <f>+'Indices y Coeficientes'!C9</f>
        <v>Repuestos para maquinaria de construcción</v>
      </c>
      <c r="D10" s="122"/>
      <c r="E10" s="122"/>
      <c r="F10" s="123"/>
      <c r="G10" s="124">
        <f>+'Indices y Coeficientes'!D9</f>
        <v>45.626000000000005</v>
      </c>
      <c r="H10" s="125">
        <f>+'Indices y Coeficientes'!E9</f>
        <v>1.7999999999999999E-2</v>
      </c>
    </row>
    <row r="11" spans="1:11" x14ac:dyDescent="0.25">
      <c r="A11" s="119" t="str">
        <f>+'Indices y Coeficientes'!A10</f>
        <v>X</v>
      </c>
      <c r="B11" s="120">
        <f>+'Indices y Coeficientes'!B10</f>
        <v>822</v>
      </c>
      <c r="C11" s="121" t="str">
        <f>+'Indices y Coeficientes'!C10</f>
        <v>Indice de Precios al Consumidor Urbano - Cuenca</v>
      </c>
      <c r="D11" s="122"/>
      <c r="E11" s="122"/>
      <c r="F11" s="123"/>
      <c r="G11" s="124">
        <f>+'Indices y Coeficientes'!D10</f>
        <v>406.54999999999995</v>
      </c>
      <c r="H11" s="125">
        <f>+'Indices y Coeficientes'!E10</f>
        <v>0.158</v>
      </c>
    </row>
    <row r="12" spans="1:11" x14ac:dyDescent="0.25">
      <c r="A12" s="115" t="s">
        <v>135</v>
      </c>
      <c r="B12" s="116"/>
      <c r="C12" s="116"/>
      <c r="D12" s="116"/>
      <c r="E12" s="116"/>
      <c r="F12" s="117"/>
      <c r="G12" s="64">
        <f>SUM(G4:G11)</f>
        <v>2573.9700000000003</v>
      </c>
      <c r="H12" s="73">
        <f>SUM(H4:H11)</f>
        <v>1</v>
      </c>
    </row>
    <row r="14" spans="1:11" x14ac:dyDescent="0.25">
      <c r="A14" s="78" t="s">
        <v>136</v>
      </c>
      <c r="C14" s="78"/>
      <c r="D14" s="78"/>
      <c r="E14" s="78"/>
      <c r="F14" s="78"/>
      <c r="G14" s="78"/>
      <c r="H14" s="78"/>
    </row>
    <row r="15" spans="1:11" ht="14.25" customHeight="1" x14ac:dyDescent="0.25"/>
    <row r="16" spans="1:11" ht="14.25" customHeight="1" x14ac:dyDescent="0.25">
      <c r="A16" s="107" t="s">
        <v>139</v>
      </c>
      <c r="B16" s="107"/>
      <c r="C16" s="107"/>
      <c r="D16" s="107"/>
      <c r="E16" s="107"/>
      <c r="F16" s="107"/>
      <c r="G16" s="107"/>
      <c r="H16" s="107"/>
      <c r="I16" s="130"/>
      <c r="J16" s="130"/>
      <c r="K16" s="130"/>
    </row>
    <row r="17" spans="1:11" ht="14.25" customHeight="1" x14ac:dyDescent="0.25"/>
    <row r="18" spans="1:11" s="57" customFormat="1" x14ac:dyDescent="0.25">
      <c r="A18" s="62" t="s">
        <v>149</v>
      </c>
      <c r="B18" s="62" t="s">
        <v>151</v>
      </c>
      <c r="C18" s="62" t="s">
        <v>9</v>
      </c>
      <c r="D18" s="62" t="s">
        <v>144</v>
      </c>
      <c r="E18" s="62" t="s">
        <v>145</v>
      </c>
      <c r="F18" s="62" t="s">
        <v>130</v>
      </c>
      <c r="G18" s="62" t="s">
        <v>114</v>
      </c>
      <c r="H18" s="62" t="s">
        <v>129</v>
      </c>
    </row>
    <row r="19" spans="1:11" x14ac:dyDescent="0.25">
      <c r="A19" s="120" t="s">
        <v>123</v>
      </c>
      <c r="B19" s="120">
        <v>1010</v>
      </c>
      <c r="C19" s="126" t="s">
        <v>131</v>
      </c>
      <c r="D19" s="127">
        <v>3.26</v>
      </c>
      <c r="E19" s="127">
        <v>3.46</v>
      </c>
      <c r="F19" s="120">
        <f>+'Cuadrilla Tipo'!G3</f>
        <v>72.743399999999994</v>
      </c>
      <c r="G19" s="128">
        <f>+'Cuadrilla Tipo'!H3</f>
        <v>251.69</v>
      </c>
      <c r="H19" s="129">
        <f>+'Cuadrilla Tipo'!I3</f>
        <v>0.33100000000000002</v>
      </c>
    </row>
    <row r="20" spans="1:11" x14ac:dyDescent="0.25">
      <c r="A20" s="120" t="s">
        <v>123</v>
      </c>
      <c r="B20" s="120">
        <v>1020</v>
      </c>
      <c r="C20" s="126" t="s">
        <v>132</v>
      </c>
      <c r="D20" s="127">
        <v>3.3</v>
      </c>
      <c r="E20" s="127">
        <v>4.29</v>
      </c>
      <c r="F20" s="120">
        <f>+'Cuadrilla Tipo'!G4</f>
        <v>67.713700000000003</v>
      </c>
      <c r="G20" s="128">
        <f>+'Cuadrilla Tipo'!H4</f>
        <v>290.49</v>
      </c>
      <c r="H20" s="129">
        <f>+'Cuadrilla Tipo'!I4</f>
        <v>0.38200000000000001</v>
      </c>
    </row>
    <row r="21" spans="1:11" x14ac:dyDescent="0.25">
      <c r="A21" s="120" t="s">
        <v>123</v>
      </c>
      <c r="B21" s="120">
        <v>1030</v>
      </c>
      <c r="C21" s="126" t="s">
        <v>133</v>
      </c>
      <c r="D21" s="127">
        <v>3.66</v>
      </c>
      <c r="E21" s="127">
        <v>5.1100000000000003</v>
      </c>
      <c r="F21" s="120">
        <f>+'Cuadrilla Tipo'!G5</f>
        <v>14.0555</v>
      </c>
      <c r="G21" s="128">
        <f>+'Cuadrilla Tipo'!H5</f>
        <v>71.819999999999993</v>
      </c>
      <c r="H21" s="129">
        <f>+'Cuadrilla Tipo'!I5</f>
        <v>9.4500000000000001E-2</v>
      </c>
    </row>
    <row r="22" spans="1:11" x14ac:dyDescent="0.25">
      <c r="A22" s="120" t="s">
        <v>123</v>
      </c>
      <c r="B22" s="120">
        <v>1030</v>
      </c>
      <c r="C22" s="126" t="s">
        <v>133</v>
      </c>
      <c r="D22" s="127">
        <v>3.66</v>
      </c>
      <c r="E22" s="127">
        <v>3.8</v>
      </c>
      <c r="F22" s="156">
        <f>+'Cuadrilla Tipo'!G6</f>
        <v>12.105042105263159</v>
      </c>
      <c r="G22" s="128">
        <f>+'Cuadrilla Tipo'!H6</f>
        <v>45.996000000000002</v>
      </c>
      <c r="H22" s="129">
        <f>+'Cuadrilla Tipo'!I6</f>
        <v>6.0499999999999998E-2</v>
      </c>
    </row>
    <row r="23" spans="1:11" x14ac:dyDescent="0.25">
      <c r="A23" s="120" t="s">
        <v>123</v>
      </c>
      <c r="B23" s="120">
        <v>1145</v>
      </c>
      <c r="C23" s="126" t="s">
        <v>134</v>
      </c>
      <c r="D23" s="127">
        <v>4.79</v>
      </c>
      <c r="E23" s="127">
        <v>5</v>
      </c>
      <c r="F23" s="120">
        <f>+'Cuadrilla Tipo'!G7</f>
        <v>20.072800000000001</v>
      </c>
      <c r="G23" s="128">
        <f>+'Cuadrilla Tipo'!H7</f>
        <v>100.36</v>
      </c>
      <c r="H23" s="129">
        <f>+'Cuadrilla Tipo'!I7</f>
        <v>0.13200000000000001</v>
      </c>
    </row>
    <row r="24" spans="1:11" x14ac:dyDescent="0.25">
      <c r="A24" s="115" t="s">
        <v>135</v>
      </c>
      <c r="B24" s="116"/>
      <c r="C24" s="116"/>
      <c r="D24" s="116"/>
      <c r="E24" s="117"/>
      <c r="F24" s="159">
        <f>SUM(F19:F23)</f>
        <v>186.69044210526314</v>
      </c>
      <c r="G24" s="158">
        <f>SUM(G19:G23)</f>
        <v>760.35599999999999</v>
      </c>
      <c r="H24" s="141">
        <f>SUM(H19:H23)</f>
        <v>1</v>
      </c>
    </row>
    <row r="26" spans="1:11" ht="20.25" customHeight="1" x14ac:dyDescent="0.25">
      <c r="A26" s="108" t="s">
        <v>140</v>
      </c>
      <c r="B26" s="108"/>
      <c r="C26" s="108"/>
      <c r="D26" s="108"/>
      <c r="E26" s="108"/>
      <c r="F26" s="108"/>
      <c r="G26" s="108"/>
      <c r="H26" s="108"/>
      <c r="I26" s="118"/>
      <c r="J26" s="118"/>
      <c r="K26" s="118"/>
    </row>
    <row r="27" spans="1:11" ht="20.25" customHeight="1" x14ac:dyDescent="0.25">
      <c r="A27" s="108"/>
      <c r="B27" s="108"/>
      <c r="C27" s="108"/>
      <c r="D27" s="108"/>
      <c r="E27" s="108"/>
      <c r="F27" s="108"/>
      <c r="G27" s="108"/>
      <c r="H27" s="108"/>
      <c r="I27" s="118"/>
      <c r="J27" s="118"/>
      <c r="K27" s="118"/>
    </row>
  </sheetData>
  <mergeCells count="14">
    <mergeCell ref="C10:F10"/>
    <mergeCell ref="C11:F11"/>
    <mergeCell ref="C3:F3"/>
    <mergeCell ref="C4:F4"/>
    <mergeCell ref="C5:F5"/>
    <mergeCell ref="C6:F6"/>
    <mergeCell ref="C7:F7"/>
    <mergeCell ref="C8:F8"/>
    <mergeCell ref="C9:F9"/>
    <mergeCell ref="A12:F12"/>
    <mergeCell ref="A24:E24"/>
    <mergeCell ref="A26:H27"/>
    <mergeCell ref="A1:H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Presupuesto</vt:lpstr>
      <vt:lpstr>504055</vt:lpstr>
      <vt:lpstr>504001</vt:lpstr>
      <vt:lpstr>505055</vt:lpstr>
      <vt:lpstr>510037</vt:lpstr>
      <vt:lpstr>508003</vt:lpstr>
      <vt:lpstr>506004</vt:lpstr>
      <vt:lpstr>Agrupación de Recursos</vt:lpstr>
      <vt:lpstr>Desglose Equipo y Transporte</vt:lpstr>
      <vt:lpstr>Indices y Coeficientes</vt:lpstr>
      <vt:lpstr>Cuadrilla Tipo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DESKTOP-0GJ001U\Santiago</dc:creator>
  <cp:lastModifiedBy>Santiago</cp:lastModifiedBy>
  <dcterms:created xsi:type="dcterms:W3CDTF">2023-08-21T15:00:17Z</dcterms:created>
  <dcterms:modified xsi:type="dcterms:W3CDTF">2023-08-25T01:44:13Z</dcterms:modified>
</cp:coreProperties>
</file>